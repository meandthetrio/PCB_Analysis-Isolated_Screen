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SMT" sheetId="1" state="visible" r:id="rId3"/>
    <sheet name="Hand_Solder" sheetId="2" state="visible" r:id="rId4"/>
    <sheet name="Stock_Chec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<sst xmlns="http://schemas.openxmlformats.org/spreadsheetml/2006/main" count="607" uniqueCount="319">
  <si>
    <t xml:space="preserve">Comment</t>
  </si>
  <si>
    <t xml:space="preserve">Designator</t>
  </si>
  <si>
    <t xml:space="preserve">Footprint</t>
  </si>
  <si>
    <t xml:space="preserve">JLCPCB Part #</t>
  </si>
  <si>
    <t xml:space="preserve">100nF 25V X7R | CL10B104KA8NNNC (Samsung) | sch value 100NF</t>
  </si>
  <si>
    <t xml:space="preserve">C1,C4,C5,C8,C11,C14,C16,C27</t>
  </si>
  <si>
    <t xml:space="preserve">0603</t>
  </si>
  <si>
    <t xml:space="preserve">C1590</t>
  </si>
  <si>
    <t xml:space="preserve">470nF 25V X7R | CL10B474KA8NNNC (Samsung) | sch value 470NF</t>
  </si>
  <si>
    <t xml:space="preserve">C2,C3,C10</t>
  </si>
  <si>
    <t xml:space="preserve">C1623</t>
  </si>
  <si>
    <t xml:space="preserve">100uF 35V electrolytic | RVT1V101M0607 (Honor) | sch value 100UF</t>
  </si>
  <si>
    <t xml:space="preserve">C6,C7,C15,C17,C18</t>
  </si>
  <si>
    <t xml:space="preserve">SMD,D6.3xL7.7mm</t>
  </si>
  <si>
    <t xml:space="preserve">C3339</t>
  </si>
  <si>
    <t xml:space="preserve">2.2uF 10V X5R | CL10A225KP8NNNC (Samsung) | sch value 2.2UF</t>
  </si>
  <si>
    <t xml:space="preserve">C9,C13</t>
  </si>
  <si>
    <t xml:space="preserve">C1607</t>
  </si>
  <si>
    <t xml:space="preserve">4.7uF 10V X5R | CL10A475KP8NNNC (Samsung) | sch value 4.7UF</t>
  </si>
  <si>
    <t xml:space="preserve">C12</t>
  </si>
  <si>
    <t xml:space="preserve">C1705</t>
  </si>
  <si>
    <t xml:space="preserve">10nF 50V X7R (encoder filter) | 0603B103K500NT (Fenghua) | sch value 10NF</t>
  </si>
  <si>
    <t xml:space="preserve">C19,C20,C21,C22</t>
  </si>
  <si>
    <t xml:space="preserve">C57112</t>
  </si>
  <si>
    <t xml:space="preserve">10uF 25V X5R | CL21A106KAYNNNE (Samsung) | sch value 10UF</t>
  </si>
  <si>
    <t xml:space="preserve">C25,C28</t>
  </si>
  <si>
    <t xml:space="preserve">0805</t>
  </si>
  <si>
    <t xml:space="preserve">C15850</t>
  </si>
  <si>
    <t xml:space="preserve">22uF 25V X5R | CL21A226MAQNNNE (Samsung) | sch value 22UF</t>
  </si>
  <si>
    <t xml:space="preserve">C26</t>
  </si>
  <si>
    <t xml:space="preserve">C45783</t>
  </si>
  <si>
    <t xml:space="preserve">Schottky 20V 1A (MIDI-in protection) | NSR1020MW2T3G (onsemi) | sch value D_Schottky</t>
  </si>
  <si>
    <t xml:space="preserve">D1</t>
  </si>
  <si>
    <t xml:space="preserve">SOD-323</t>
  </si>
  <si>
    <t xml:space="preserve">C385198</t>
  </si>
  <si>
    <t xml:space="preserve">Schottky 20V 1A, IFSM 25A (bridge) | 1N5817W (Shandong Jingdao) | sch value D_Schottky</t>
  </si>
  <si>
    <t xml:space="preserve">D2,D3,D4,D5</t>
  </si>
  <si>
    <t xml:space="preserve">SOD-123FL</t>
  </si>
  <si>
    <t xml:space="preserve">C169541</t>
  </si>
  <si>
    <t xml:space="preserve">Ferrite bead 120R@100MHz 2A | BLM18PG121SN1D (Murata) | sch value FerriteBead</t>
  </si>
  <si>
    <t xml:space="preserve">FB2,FB3,FB4,FB5,FB6</t>
  </si>
  <si>
    <t xml:space="preserve">C14709</t>
  </si>
  <si>
    <t xml:space="preserve">DC barrel jack 2.0/6.4mm, 12V 3A | DC-050-T20 (SOFNG) | sch value Barrel_Jack</t>
  </si>
  <si>
    <t xml:space="preserve">J1</t>
  </si>
  <si>
    <t xml:space="preserve">SMD</t>
  </si>
  <si>
    <t xml:space="preserve">C114916</t>
  </si>
  <si>
    <t xml:space="preserve">2.2uH 1.4A power inductor | DFE201610P-2R2M=P2 (Murata) | sch value 2.2UH DFE201610P-2R2M=P2</t>
  </si>
  <si>
    <t xml:space="preserve">L1</t>
  </si>
  <si>
    <t xml:space="preserve">0806 (2016)</t>
  </si>
  <si>
    <t xml:space="preserve">C237554</t>
  </si>
  <si>
    <t xml:space="preserve">microSD socket, push-push | DM3AT-SF-PEJM5 (Hirose) | sch value Micro_SD_Card_Det2</t>
  </si>
  <si>
    <t xml:space="preserve">P1</t>
  </si>
  <si>
    <t xml:space="preserve">C114218</t>
  </si>
  <si>
    <t xml:space="preserve">USB-C receptacle 16P, right angle | TYPE-C16PIN (SHOU HAN) | sch value USB_C31-S-RA-CS2-SMT-BK-T/R</t>
  </si>
  <si>
    <t xml:space="preserve">P2</t>
  </si>
  <si>
    <t xml:space="preserve">C393939</t>
  </si>
  <si>
    <t xml:space="preserve">NPN 40V 200mA (LED driver) | MMBT3904 (JSCJ) | sch value MMBT3904</t>
  </si>
  <si>
    <t xml:space="preserve">Q1,Q2,Q3,Q4,Q5,Q6</t>
  </si>
  <si>
    <t xml:space="preserve">SOT-23</t>
  </si>
  <si>
    <t xml:space="preserve">C20526</t>
  </si>
  <si>
    <t xml:space="preserve">10R 1% 100mW (MIDI out) | 0603WAF100JT5E (UNI-ROYAL) | sch value 10R</t>
  </si>
  <si>
    <t xml:space="preserve">R1</t>
  </si>
  <si>
    <t xml:space="preserve">C22859</t>
  </si>
  <si>
    <t xml:space="preserve">0R jumper | 0603WAF0000T5E (UNI-ROYAL) | sch value 0R</t>
  </si>
  <si>
    <t xml:space="preserve">R2,R3</t>
  </si>
  <si>
    <t xml:space="preserve">C21189</t>
  </si>
  <si>
    <t xml:space="preserve">33R 5% 500mW (MIDI out) | FRC1210J330 TS (FOJAN) | sch value 33R</t>
  </si>
  <si>
    <t xml:space="preserve">R4</t>
  </si>
  <si>
    <t xml:space="preserve">1210</t>
  </si>
  <si>
    <t xml:space="preserve">C2907549</t>
  </si>
  <si>
    <t xml:space="preserve">220R 5% 100mW | 0603WAJ0221T5E (UNI-ROYAL) | sch value 220R</t>
  </si>
  <si>
    <t xml:space="preserve">R5</t>
  </si>
  <si>
    <t xml:space="preserve">C1226</t>
  </si>
  <si>
    <t xml:space="preserve">270R 1% 100mW | 0603WAF2700T5E (UNI-ROYAL) | sch value 270R</t>
  </si>
  <si>
    <t xml:space="preserve">R6</t>
  </si>
  <si>
    <t xml:space="preserve">C22966</t>
  </si>
  <si>
    <t xml:space="preserve">47k 5% 100mW | 0603WAJ0473T5E (UNI-ROYAL) | sch value 47K</t>
  </si>
  <si>
    <t xml:space="preserve">R7,R8,R9,R10,R11</t>
  </si>
  <si>
    <t xml:space="preserve">C25600</t>
  </si>
  <si>
    <t xml:space="preserve">22k 5% 100mW | 0603WAJ0223T5E (UNI-ROYAL) | sch value 22K</t>
  </si>
  <si>
    <t xml:space="preserve">R12,R13</t>
  </si>
  <si>
    <t xml:space="preserve">C23344</t>
  </si>
  <si>
    <t xml:space="preserve">33k 1% 100mW | 0603WAF3302T5E (UNI-ROYAL) | sch value 33K</t>
  </si>
  <si>
    <t xml:space="preserve">R14,R15</t>
  </si>
  <si>
    <t xml:space="preserve">C4216</t>
  </si>
  <si>
    <t xml:space="preserve">5.1k 1% 100mW (USB CC) | 0603WAF5101T5E (UNI-ROYAL) | sch value 5K1</t>
  </si>
  <si>
    <t xml:space="preserve">R16,R17</t>
  </si>
  <si>
    <t xml:space="preserve">C23186</t>
  </si>
  <si>
    <t xml:space="preserve">100k 1% 100mW | RC0603FR-07100KL (YAGEO) | sch value 100K</t>
  </si>
  <si>
    <t xml:space="preserve">R18,R33</t>
  </si>
  <si>
    <t xml:space="preserve">C14675</t>
  </si>
  <si>
    <t xml:space="preserve">150k 1% 100mW | 0603WAF1503T5E (UNI-ROYAL) | sch value 150K</t>
  </si>
  <si>
    <t xml:space="preserve">R19</t>
  </si>
  <si>
    <t xml:space="preserve">C22807</t>
  </si>
  <si>
    <t xml:space="preserve">2.2k 1% 100mW | 0603WAF2201T5E (UNI-ROYAL) | sch value 2K2</t>
  </si>
  <si>
    <t xml:space="preserve">R20</t>
  </si>
  <si>
    <t xml:space="preserve">C4190</t>
  </si>
  <si>
    <t xml:space="preserve">390R 1% 100mW (LED green/blue) | 0603WAF3900T5E (UNI-ROYAL) | sch value 390R</t>
  </si>
  <si>
    <t xml:space="preserve">R21,R25,R26,R28</t>
  </si>
  <si>
    <t xml:space="preserve">C23151</t>
  </si>
  <si>
    <t xml:space="preserve">10k 5% 100mW | RCA0310KJLF (HKR) | sch value 10k</t>
  </si>
  <si>
    <t xml:space="preserve">R22,R23,R31,R32,R34,R41</t>
  </si>
  <si>
    <t xml:space="preserve">C22369937</t>
  </si>
  <si>
    <t xml:space="preserve">510R 1% 100mW (LED red) | 0603WAF5100T5E (UNI-ROYAL) | sch value 510R</t>
  </si>
  <si>
    <t xml:space="preserve">R24,R27</t>
  </si>
  <si>
    <t xml:space="preserve">C23193</t>
  </si>
  <si>
    <t xml:space="preserve">3.3R 5% 1W | FRC2512J3R3 TS (FOJAN) | sch value 3.3R</t>
  </si>
  <si>
    <t xml:space="preserve">R29,R30</t>
  </si>
  <si>
    <t xml:space="preserve">2512</t>
  </si>
  <si>
    <t xml:space="preserve">C2960677</t>
  </si>
  <si>
    <t xml:space="preserve">1k 5% 100mW (LED base) | RC0603JR-071KL (YAGEO) | sch value 1K</t>
  </si>
  <si>
    <t xml:space="preserve">R35,R36,R37,R38,R39,R40</t>
  </si>
  <si>
    <t xml:space="preserve">C14676</t>
  </si>
  <si>
    <t xml:space="preserve">Optoisolator, logic output (MIDI in) | H11L1SR2M (onsemi) | sch value H11L1</t>
  </si>
  <si>
    <t xml:space="preserve">U1</t>
  </si>
  <si>
    <t xml:space="preserve">SOP-6</t>
  </si>
  <si>
    <t xml:space="preserve">C20082</t>
  </si>
  <si>
    <t xml:space="preserve">USB ESD protection | USBLC6-2P6 (YTL) | sch value USBLC6-2P6</t>
  </si>
  <si>
    <t xml:space="preserve">U2</t>
  </si>
  <si>
    <t xml:space="preserve">SOT-666</t>
  </si>
  <si>
    <t xml:space="preserve">C53059594</t>
  </si>
  <si>
    <t xml:space="preserve">Headphone amplifier 150mW x2 | TPA6110A2DGNR (Texas Instruments) | sch value TPA6110A2DGN</t>
  </si>
  <si>
    <t xml:space="preserve">U3</t>
  </si>
  <si>
    <t xml:space="preserve">MSOP-8-EP</t>
  </si>
  <si>
    <t xml:space="preserve">C130212</t>
  </si>
  <si>
    <t xml:space="preserve">Mic amplifier with AGC | MAX9814ETD+T (Analog Devices) | sch value MAX9814</t>
  </si>
  <si>
    <t xml:space="preserve">U4</t>
  </si>
  <si>
    <t xml:space="preserve">TDFN-14-EP(3x3)</t>
  </si>
  <si>
    <t xml:space="preserve">C41714</t>
  </si>
  <si>
    <t xml:space="preserve">Buck 3.3V 500mA (OLED rail) | TPS62172DSGR (Texas Instruments) | sch value TPS62172DSG</t>
  </si>
  <si>
    <t xml:space="preserve">U6</t>
  </si>
  <si>
    <t xml:space="preserve">WSON-8-EP(2x2)</t>
  </si>
  <si>
    <t xml:space="preserve">C59873</t>
  </si>
  <si>
    <t xml:space="preserve">Part</t>
  </si>
  <si>
    <t xml:space="preserve">Schematic value</t>
  </si>
  <si>
    <t xml:space="preserve">KiCad footprint</t>
  </si>
  <si>
    <t xml:space="preserve">Side</t>
  </si>
  <si>
    <t xml:space="preserve">Qty</t>
  </si>
  <si>
    <t xml:space="preserve">Notes</t>
  </si>
  <si>
    <t xml:space="preserve">A1</t>
  </si>
  <si>
    <t xml:space="preserve">Electrosmith Daisy Seed (Rev4)</t>
  </si>
  <si>
    <t xml:space="preserve">Electrosmith_Daisy_Seed_Rev4</t>
  </si>
  <si>
    <t xml:space="preserve">Electrosmith_Daisy_Seed_Cuz</t>
  </si>
  <si>
    <t xml:space="preserve">bottom</t>
  </si>
  <si>
    <t xml:space="preserve">1</t>
  </si>
  <si>
    <t xml:space="preserve">bottom; 2 x 20 header rows</t>
  </si>
  <si>
    <t xml:space="preserve">C23</t>
  </si>
  <si>
    <t xml:space="preserve">100nF axial THT</t>
  </si>
  <si>
    <t xml:space="preserve">100NF</t>
  </si>
  <si>
    <t xml:space="preserve">C_Axial_L3.8mm_D2.6mm_P7.50mm_Horizontal</t>
  </si>
  <si>
    <t xml:space="preserve">bottom; /+3V3_OLED decoupling at J8</t>
  </si>
  <si>
    <t xml:space="preserve">C24</t>
  </si>
  <si>
    <t xml:space="preserve">100uF radial THT 6.3mm</t>
  </si>
  <si>
    <t xml:space="preserve">100UF</t>
  </si>
  <si>
    <t xml:space="preserve">CP_Radial_D6.3mm_P2.50mm</t>
  </si>
  <si>
    <t xml:space="preserve">bottom; /+3V3_OLED bulk at J8; observe polarity</t>
  </si>
  <si>
    <t xml:space="preserve">ENCL1</t>
  </si>
  <si>
    <t xml:space="preserve">Alps vertical rotary encoder with switch, H20mm</t>
  </si>
  <si>
    <t xml:space="preserve">RotaryEncoder_Switch</t>
  </si>
  <si>
    <t xml:space="preserve">RotaryEncoder_Alps_Vertical_H20mm</t>
  </si>
  <si>
    <t xml:space="preserve">top</t>
  </si>
  <si>
    <t xml:space="preserve">ENCR1</t>
  </si>
  <si>
    <t xml:space="preserve">Headphones1</t>
  </si>
  <si>
    <t xml:space="preserve">Bourns PTD902-2015K-B103 dual 10k pot (B/linear)</t>
  </si>
  <si>
    <t xml:space="preserve">B10k Dual</t>
  </si>
  <si>
    <t xml:space="preserve">DualGang_Headphone_PTD902-2015K-B103</t>
  </si>
  <si>
    <t xml:space="preserve">bottom; bushing exits the bottom edge 9mm outside the outline</t>
  </si>
  <si>
    <t xml:space="preserve">J3</t>
  </si>
  <si>
    <t xml:space="preserve">3.5mm TRS jack, CUI (MIDI OUT)</t>
  </si>
  <si>
    <t xml:space="preserve">MIDI OUTPUT</t>
  </si>
  <si>
    <t xml:space="preserve">Jack_3.5mm_CUI_RetroactiveCustom</t>
  </si>
  <si>
    <t xml:space="preserve">bottom; panel</t>
  </si>
  <si>
    <t xml:space="preserve">J4</t>
  </si>
  <si>
    <t xml:space="preserve">3.5mm TRS jack, CUI (AUDIO IN)</t>
  </si>
  <si>
    <t xml:space="preserve">AUDIO INPUT</t>
  </si>
  <si>
    <t xml:space="preserve">J5</t>
  </si>
  <si>
    <t xml:space="preserve">3.5mm TRS jack, CUI (AUDIO OUT)</t>
  </si>
  <si>
    <t xml:space="preserve">AUDIO OUTPUT</t>
  </si>
  <si>
    <t xml:space="preserve">J6</t>
  </si>
  <si>
    <t xml:space="preserve">3.5mm TRS jack, CUI (MIDI IN)</t>
  </si>
  <si>
    <t xml:space="preserve">MIDI INPUT</t>
  </si>
  <si>
    <t xml:space="preserve">J7</t>
  </si>
  <si>
    <t xml:space="preserve">3.5mm TRS jack, CUI (PHONES)</t>
  </si>
  <si>
    <t xml:space="preserve">PHONES</t>
  </si>
  <si>
    <t xml:space="preserve">J8</t>
  </si>
  <si>
    <t xml:space="preserve">1x20 2.54mm header for NHD-2.7-12864WDW3 OLED</t>
  </si>
  <si>
    <t xml:space="preserve">NHD-2.7-12864WDW3</t>
  </si>
  <si>
    <t xml:space="preserve">Newhaven2.7_OLED</t>
  </si>
  <si>
    <t xml:space="preserve">top; display not mounted in this build (Kyle 2026-10-13)</t>
  </si>
  <si>
    <t xml:space="preserve">LED1</t>
  </si>
  <si>
    <t xml:space="preserve">Würth WL-SFTW 150505M173300 RGB LED</t>
  </si>
  <si>
    <t xml:space="preserve">CLS6B-FKW</t>
  </si>
  <si>
    <t xml:space="preserve">LED_RGB_5050-6_Retroactive Pin Out</t>
  </si>
  <si>
    <t xml:space="preserve">top, SMD hand-solder; pads 1/3/5 cathodes to Q collectors, 2/4/6 anodes via R to +9V_FLAG; chamfered corner = pin 1</t>
  </si>
  <si>
    <t xml:space="preserve">LED2</t>
  </si>
  <si>
    <t xml:space="preserve">as LED1</t>
  </si>
  <si>
    <t xml:space="preserve">MK1</t>
  </si>
  <si>
    <t xml:space="preserve">Electret microphone POM-2244P-C3310-2-R</t>
  </si>
  <si>
    <t xml:space="preserve">Microphone_Condenser</t>
  </si>
  <si>
    <t xml:space="preserve">POM-2244P-C3310-2-R</t>
  </si>
  <si>
    <t xml:space="preserve">top; observe polarity (pad 1 = GND)</t>
  </si>
  <si>
    <t xml:space="preserve">SW1</t>
  </si>
  <si>
    <t xml:space="preserve">Slide switch DigiKey 1101A4VQEA (silver 5A contacts)</t>
  </si>
  <si>
    <t xml:space="preserve">Power ON/OFF</t>
  </si>
  <si>
    <t xml:space="preserve">DigiKey_1101A4VQEA_SPDT_Vertical_SlideSwitch</t>
  </si>
  <si>
    <t xml:space="preserve">bottom; power on/off</t>
  </si>
  <si>
    <t xml:space="preserve">TAC_SHIFT_L1</t>
  </si>
  <si>
    <t xml:space="preserve">90-degree tactile switch</t>
  </si>
  <si>
    <t xml:space="preserve">SW_Push</t>
  </si>
  <si>
    <t xml:space="preserve">Retroactive_90DegSW_Tactile</t>
  </si>
  <si>
    <t xml:space="preserve">bottom edge</t>
  </si>
  <si>
    <t xml:space="preserve">TAC_SHIFT_R1</t>
  </si>
  <si>
    <t xml:space="preserve">TAC_SWITCH_1</t>
  </si>
  <si>
    <t xml:space="preserve">6mm tactile switch, H9.5mm</t>
  </si>
  <si>
    <t xml:space="preserve">SW_MEC_5E</t>
  </si>
  <si>
    <t xml:space="preserve">Retroactive_THT_TACTSW_6mm_H9.5mm</t>
  </si>
  <si>
    <t xml:space="preserve">TAC_SWITCH_2</t>
  </si>
  <si>
    <t xml:space="preserve">Boards to order</t>
  </si>
  <si>
    <t xml:space="preserve">Edit B1. Needed = qty per board x B1; Status: SHORT if stock &lt; needed, LOW if stock &lt; 5 x needed. Stock is JLCPCB assembly stock from the JLCPCB parts API, 2026-10-13.</t>
  </si>
  <si>
    <t xml:space="preserve">MPN</t>
  </si>
  <si>
    <t xml:space="preserve">Manufacturer</t>
  </si>
  <si>
    <t xml:space="preserve">Package</t>
  </si>
  <si>
    <t xml:space="preserve">Designators</t>
  </si>
  <si>
    <t xml:space="preserve">Qty per board</t>
  </si>
  <si>
    <t xml:space="preserve">Needed</t>
  </si>
  <si>
    <t xml:space="preserve">JLCPCB stock</t>
  </si>
  <si>
    <t xml:space="preserve">Library</t>
  </si>
  <si>
    <t xml:space="preserve">Unit price USD</t>
  </si>
  <si>
    <t xml:space="preserve">Status</t>
  </si>
  <si>
    <t xml:space="preserve">Alternative</t>
  </si>
  <si>
    <t xml:space="preserve">Note</t>
  </si>
  <si>
    <t xml:space="preserve">Lead time / sourcing</t>
  </si>
  <si>
    <t xml:space="preserve">CL10B104KA8NNNC</t>
  </si>
  <si>
    <t xml:space="preserve">Samsung Electro-Mechanics</t>
  </si>
  <si>
    <t xml:space="preserve">Extended</t>
  </si>
  <si>
    <t xml:space="preserve">C14663</t>
  </si>
  <si>
    <t xml:space="preserve">optional Basic swap: CC0603KRX7R9BB104 100nF 50V X7R (saves one Extended fee)</t>
  </si>
  <si>
    <t xml:space="preserve">In stock at JLCPCB: no part lead time; only the PCBA lead time applies.</t>
  </si>
  <si>
    <t xml:space="preserve">CL10B474KA8NNNC</t>
  </si>
  <si>
    <t xml:space="preserve">Basic</t>
  </si>
  <si>
    <t xml:space="preserve">RVT1V101M0607</t>
  </si>
  <si>
    <t xml:space="preserve">Honor Elec</t>
  </si>
  <si>
    <t xml:space="preserve">CL10A225KP8NNNC</t>
  </si>
  <si>
    <t xml:space="preserve">C23630</t>
  </si>
  <si>
    <t xml:space="preserve">optional Basic swap: CL10A225KO8NNNC 2.2uF 16V X5R</t>
  </si>
  <si>
    <t xml:space="preserve">CL10A475KP8NNNC</t>
  </si>
  <si>
    <t xml:space="preserve">C19666</t>
  </si>
  <si>
    <t xml:space="preserve">optional Basic swap: CL10A475KO8NNNC 4.7uF 16V X5R</t>
  </si>
  <si>
    <t xml:space="preserve">0603B103K500NT</t>
  </si>
  <si>
    <t xml:space="preserve">FH (Guangdong Fenghua Advanced Tech)</t>
  </si>
  <si>
    <t xml:space="preserve">CL21A106KAYNNNE</t>
  </si>
  <si>
    <t xml:space="preserve">CL21A226MAQNNNE</t>
  </si>
  <si>
    <t xml:space="preserve">NSR1020MW2T3G</t>
  </si>
  <si>
    <t xml:space="preserve">onsemi</t>
  </si>
  <si>
    <t xml:space="preserve">C191023</t>
  </si>
  <si>
    <t xml:space="preserve">optional: 1N5819WS SOD-323 40V 1A, Basic, 4.4M stock — drop-in for D1 if NSR1020MW2T3G runs short (501 in stock)</t>
  </si>
  <si>
    <t xml:space="preserve">In stock at JLCPCB (501, 1 per board): no part lead time for runs up to ~450 boards after attrition. Beyond stock: global sourcing 9-20 business days, or Basic drop-in C191023 (4.4M pcs).</t>
  </si>
  <si>
    <t xml:space="preserve">1N5817W</t>
  </si>
  <si>
    <t xml:space="preserve">Shandong Jingdao Microelectronics</t>
  </si>
  <si>
    <t xml:space="preserve">BLM18PG121SN1D</t>
  </si>
  <si>
    <t xml:space="preserve">Murata Electronics</t>
  </si>
  <si>
    <t xml:space="preserve">DC-050-T20</t>
  </si>
  <si>
    <t xml:space="preserve">SOFNG</t>
  </si>
  <si>
    <t xml:space="preserve">In stock at JLCPCB (1,407): no part lead time. Beyond stock: global sourcing 9-20 business days.</t>
  </si>
  <si>
    <t xml:space="preserve">DFE201610P-2R2M=P2</t>
  </si>
  <si>
    <t xml:space="preserve">0806</t>
  </si>
  <si>
    <t xml:space="preserve">DM3AT-SF-PEJM5</t>
  </si>
  <si>
    <t xml:space="preserve">HRS(Hirose)</t>
  </si>
  <si>
    <t xml:space="preserve">TYPE-C16PIN</t>
  </si>
  <si>
    <t xml:space="preserve">SHOU HAN</t>
  </si>
  <si>
    <t xml:space="preserve">MMBT3904(RANGE:100-300)</t>
  </si>
  <si>
    <t xml:space="preserve">Jiangsu Changjing Electronics Technology Co., Ltd.</t>
  </si>
  <si>
    <t xml:space="preserve">0603WAF100JT5E</t>
  </si>
  <si>
    <t xml:space="preserve">UNI-ROYAL(Uniroyal Elec)</t>
  </si>
  <si>
    <t xml:space="preserve">0603WAF0000T5E</t>
  </si>
  <si>
    <t xml:space="preserve">FRC1210J330 TS</t>
  </si>
  <si>
    <t xml:space="preserve">FOJAN</t>
  </si>
  <si>
    <t xml:space="preserve">0603WAJ0221T5E</t>
  </si>
  <si>
    <t xml:space="preserve">C22962</t>
  </si>
  <si>
    <t xml:space="preserve">optional Basic swap: 0603WAF2200T5E 220R 1%</t>
  </si>
  <si>
    <t xml:space="preserve">0603WAF2700T5E</t>
  </si>
  <si>
    <t xml:space="preserve">0603WAJ0473T5E</t>
  </si>
  <si>
    <t xml:space="preserve">C25819</t>
  </si>
  <si>
    <t xml:space="preserve">optional Basic swap: 0603WAF4702T5E 47k 1%</t>
  </si>
  <si>
    <t xml:space="preserve">0603WAJ0223T5E</t>
  </si>
  <si>
    <t xml:space="preserve">C31850</t>
  </si>
  <si>
    <t xml:space="preserve">optional Basic swap: 0603WAF2202T5E 22k 1%</t>
  </si>
  <si>
    <t xml:space="preserve">0603WAF3302T5E</t>
  </si>
  <si>
    <t xml:space="preserve">0603WAF5101T5E</t>
  </si>
  <si>
    <t xml:space="preserve">RC0603FR-07100KL</t>
  </si>
  <si>
    <t xml:space="preserve">YAGEO</t>
  </si>
  <si>
    <t xml:space="preserve">C25803</t>
  </si>
  <si>
    <t xml:space="preserve">optional Basic swap: 0603WAF1003T5E 100k 1%</t>
  </si>
  <si>
    <t xml:space="preserve">0603WAF1503T5E</t>
  </si>
  <si>
    <t xml:space="preserve">0603WAF2201T5E</t>
  </si>
  <si>
    <t xml:space="preserve">0603WAF3900T5E</t>
  </si>
  <si>
    <t xml:space="preserve">RCA0310KJLF</t>
  </si>
  <si>
    <t xml:space="preserve">HKR(Hong Kong Resistors)</t>
  </si>
  <si>
    <t xml:space="preserve">C25804</t>
  </si>
  <si>
    <t xml:space="preserve">optional Basic swap: 0603WAF1002T5E 10k 1%</t>
  </si>
  <si>
    <t xml:space="preserve">0603WAF5100T5E</t>
  </si>
  <si>
    <t xml:space="preserve">FRC2512J3R3 TS</t>
  </si>
  <si>
    <t xml:space="preserve">RC0603JR-071KL</t>
  </si>
  <si>
    <t xml:space="preserve">C21190</t>
  </si>
  <si>
    <t xml:space="preserve">optional Basic swap: 0603WAF1001T5E 1k 1%</t>
  </si>
  <si>
    <t xml:space="preserve">H11L1SR2M</t>
  </si>
  <si>
    <t xml:space="preserve">SOP-6-2.54mm</t>
  </si>
  <si>
    <t xml:space="preserve">USBLC6-2P6</t>
  </si>
  <si>
    <t xml:space="preserve">YTL</t>
  </si>
  <si>
    <t xml:space="preserve">In stock at JLCPCB (1,850): no part lead time. Beyond stock: global sourcing 9-20 business days.</t>
  </si>
  <si>
    <t xml:space="preserve">TPA6110A2DGNR</t>
  </si>
  <si>
    <t xml:space="preserve">Texas Instruments</t>
  </si>
  <si>
    <t xml:space="preserve">none in JLC stock</t>
  </si>
  <si>
    <t xml:space="preserve">CRITICAL: 5 in stock, min buy 7. TPA6111A2DR (C497472, 887 in stock) is SOIC-8, not the HVSSOP-8-EP footprint; TPA6111A2DGN(R) HVSSOP parts show 0 stock. Options: buy TPA6110A2DGNR from Mouser/Digi-Key and consign or hand-solder U3; or JLC global-sourcing pre-order (lead time); or change U3 to SOIC-8 on the next spin</t>
  </si>
  <si>
    <t xml:space="preserve">SHORT at JLCPCB (5 pcs, min buy 7; LCSC 5 pcs, pre-sale flagged; TI store: out of stock; lifecycle ACTIVE). Fastest: Digi-Key (~528 pcs) or Mouser (~2,165 pcs, aggregator snapshot, verify live) ship in-stock parts in 1-3 days + transit, then hand-solder or consign. JLCPCB global sourcing: 1-3 business days review + 9-20 business days, assembly waits for arrival. JLCPCB pre-order: no lead time published.</t>
  </si>
  <si>
    <t xml:space="preserve">MAX9814ETD+T</t>
  </si>
  <si>
    <t xml:space="preserve">Analog Devices Inc./Maxim Integrated</t>
  </si>
  <si>
    <t xml:space="preserve">TPS62172DSGR</t>
  </si>
  <si>
    <t xml:space="preserve">In stock at JLCPCB (1,993): no part lead time. Beyond stock: global sourcing 9-20 business days.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</si>
</sst>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6324F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5CCD3"/>
      </left>
      <right style="thin">
        <color rgb="FFC5CCD3"/>
      </right>
      <top style="thin">
        <color rgb="FFC5CCD3"/>
      </top>
      <bottom style="thin">
        <color rgb="FFC5CC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CCD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2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6</v>
      </c>
      <c r="D3" s="2" t="s">
        <v>10</v>
      </c>
    </row>
    <row r="4" customFormat="false" ht="15" hidden="false" customHeight="false" outlineLevel="0" collapsed="false">
      <c r="A4" s="2" t="s">
        <v>11</v>
      </c>
      <c r="B4" s="2" t="s">
        <v>12</v>
      </c>
      <c r="C4" s="2" t="s">
        <v>13</v>
      </c>
      <c r="D4" s="2" t="s">
        <v>14</v>
      </c>
    </row>
    <row r="5" customFormat="false" ht="15" hidden="false" customHeight="false" outlineLevel="0" collapsed="false">
      <c r="A5" s="2" t="s">
        <v>15</v>
      </c>
      <c r="B5" s="2" t="s">
        <v>16</v>
      </c>
      <c r="C5" s="2" t="s">
        <v>6</v>
      </c>
      <c r="D5" s="2" t="s">
        <v>17</v>
      </c>
    </row>
    <row r="6" customFormat="false" ht="15" hidden="false" customHeight="false" outlineLevel="0" collapsed="false">
      <c r="A6" s="2" t="s">
        <v>18</v>
      </c>
      <c r="B6" s="2" t="s">
        <v>19</v>
      </c>
      <c r="C6" s="2" t="s">
        <v>6</v>
      </c>
      <c r="D6" s="2" t="s">
        <v>20</v>
      </c>
    </row>
    <row r="7" customFormat="false" ht="23.85" hidden="false" customHeight="false" outlineLevel="0" collapsed="false">
      <c r="A7" s="2" t="s">
        <v>21</v>
      </c>
      <c r="B7" s="2" t="s">
        <v>22</v>
      </c>
      <c r="C7" s="2" t="s">
        <v>6</v>
      </c>
      <c r="D7" s="2" t="s">
        <v>23</v>
      </c>
    </row>
    <row r="8" customFormat="false" ht="15" hidden="false" customHeight="false" outlineLevel="0" collapsed="false">
      <c r="A8" s="2" t="s">
        <v>24</v>
      </c>
      <c r="B8" s="2" t="s">
        <v>25</v>
      </c>
      <c r="C8" s="2" t="s">
        <v>26</v>
      </c>
      <c r="D8" s="2" t="s">
        <v>27</v>
      </c>
    </row>
    <row r="9" customFormat="false" ht="15" hidden="false" customHeight="false" outlineLevel="0" collapsed="false">
      <c r="A9" s="2" t="s">
        <v>28</v>
      </c>
      <c r="B9" s="2" t="s">
        <v>29</v>
      </c>
      <c r="C9" s="2" t="s">
        <v>26</v>
      </c>
      <c r="D9" s="2" t="s">
        <v>30</v>
      </c>
    </row>
    <row r="10" customFormat="false" ht="23.85" hidden="false" customHeight="false" outlineLevel="0" collapsed="false">
      <c r="A10" s="2" t="s">
        <v>31</v>
      </c>
      <c r="B10" s="2" t="s">
        <v>32</v>
      </c>
      <c r="C10" s="2" t="s">
        <v>33</v>
      </c>
      <c r="D10" s="2" t="s">
        <v>34</v>
      </c>
    </row>
    <row r="11" customFormat="false" ht="23.85" hidden="false" customHeight="false" outlineLevel="0" collapsed="false">
      <c r="A11" s="2" t="s">
        <v>35</v>
      </c>
      <c r="B11" s="2" t="s">
        <v>36</v>
      </c>
      <c r="C11" s="2" t="s">
        <v>37</v>
      </c>
      <c r="D11" s="2" t="s">
        <v>38</v>
      </c>
    </row>
    <row r="12" customFormat="false" ht="23.85" hidden="false" customHeight="false" outlineLevel="0" collapsed="false">
      <c r="A12" s="2" t="s">
        <v>39</v>
      </c>
      <c r="B12" s="2" t="s">
        <v>40</v>
      </c>
      <c r="C12" s="2" t="s">
        <v>6</v>
      </c>
      <c r="D12" s="2" t="s">
        <v>41</v>
      </c>
    </row>
    <row r="13" customFormat="false" ht="23.85" hidden="false" customHeight="false" outlineLevel="0" collapsed="false">
      <c r="A13" s="2" t="s">
        <v>42</v>
      </c>
      <c r="B13" s="2" t="s">
        <v>43</v>
      </c>
      <c r="C13" s="2" t="s">
        <v>44</v>
      </c>
      <c r="D13" s="2" t="s">
        <v>45</v>
      </c>
    </row>
    <row r="14" customFormat="false" ht="23.85" hidden="false" customHeight="false" outlineLevel="0" collapsed="false">
      <c r="A14" s="2" t="s">
        <v>46</v>
      </c>
      <c r="B14" s="2" t="s">
        <v>47</v>
      </c>
      <c r="C14" s="2" t="s">
        <v>48</v>
      </c>
      <c r="D14" s="2" t="s">
        <v>49</v>
      </c>
    </row>
    <row r="15" customFormat="false" ht="23.85" hidden="false" customHeight="false" outlineLevel="0" collapsed="false">
      <c r="A15" s="2" t="s">
        <v>50</v>
      </c>
      <c r="B15" s="2" t="s">
        <v>51</v>
      </c>
      <c r="C15" s="2" t="s">
        <v>44</v>
      </c>
      <c r="D15" s="2" t="s">
        <v>52</v>
      </c>
    </row>
    <row r="16" customFormat="false" ht="23.85" hidden="false" customHeight="false" outlineLevel="0" collapsed="false">
      <c r="A16" s="2" t="s">
        <v>53</v>
      </c>
      <c r="B16" s="2" t="s">
        <v>54</v>
      </c>
      <c r="C16" s="2" t="s">
        <v>44</v>
      </c>
      <c r="D16" s="2" t="s">
        <v>55</v>
      </c>
    </row>
    <row r="17" customFormat="false" ht="15" hidden="false" customHeight="false" outlineLevel="0" collapsed="false">
      <c r="A17" s="2" t="s">
        <v>56</v>
      </c>
      <c r="B17" s="2" t="s">
        <v>57</v>
      </c>
      <c r="C17" s="2" t="s">
        <v>58</v>
      </c>
      <c r="D17" s="2" t="s">
        <v>59</v>
      </c>
    </row>
    <row r="18" customFormat="false" ht="23.85" hidden="false" customHeight="false" outlineLevel="0" collapsed="false">
      <c r="A18" s="2" t="s">
        <v>60</v>
      </c>
      <c r="B18" s="2" t="s">
        <v>61</v>
      </c>
      <c r="C18" s="2" t="s">
        <v>6</v>
      </c>
      <c r="D18" s="2" t="s">
        <v>62</v>
      </c>
    </row>
    <row r="19" customFormat="false" ht="15" hidden="false" customHeight="false" outlineLevel="0" collapsed="false">
      <c r="A19" s="2" t="s">
        <v>63</v>
      </c>
      <c r="B19" s="2" t="s">
        <v>64</v>
      </c>
      <c r="C19" s="2" t="s">
        <v>6</v>
      </c>
      <c r="D19" s="2" t="s">
        <v>65</v>
      </c>
    </row>
    <row r="20" customFormat="false" ht="15" hidden="false" customHeight="false" outlineLevel="0" collapsed="false">
      <c r="A20" s="2" t="s">
        <v>66</v>
      </c>
      <c r="B20" s="2" t="s">
        <v>67</v>
      </c>
      <c r="C20" s="2" t="s">
        <v>68</v>
      </c>
      <c r="D20" s="2" t="s">
        <v>69</v>
      </c>
    </row>
    <row r="21" customFormat="false" ht="15" hidden="false" customHeight="false" outlineLevel="0" collapsed="false">
      <c r="A21" s="2" t="s">
        <v>70</v>
      </c>
      <c r="B21" s="2" t="s">
        <v>71</v>
      </c>
      <c r="C21" s="2" t="s">
        <v>6</v>
      </c>
      <c r="D21" s="2" t="s">
        <v>72</v>
      </c>
    </row>
    <row r="22" customFormat="false" ht="15" hidden="false" customHeight="false" outlineLevel="0" collapsed="false">
      <c r="A22" s="2" t="s">
        <v>73</v>
      </c>
      <c r="B22" s="2" t="s">
        <v>74</v>
      </c>
      <c r="C22" s="2" t="s">
        <v>6</v>
      </c>
      <c r="D22" s="2" t="s">
        <v>75</v>
      </c>
    </row>
    <row r="23" customFormat="false" ht="15" hidden="false" customHeight="false" outlineLevel="0" collapsed="false">
      <c r="A23" s="2" t="s">
        <v>76</v>
      </c>
      <c r="B23" s="2" t="s">
        <v>77</v>
      </c>
      <c r="C23" s="2" t="s">
        <v>6</v>
      </c>
      <c r="D23" s="2" t="s">
        <v>78</v>
      </c>
    </row>
    <row r="24" customFormat="false" ht="15" hidden="false" customHeight="false" outlineLevel="0" collapsed="false">
      <c r="A24" s="2" t="s">
        <v>79</v>
      </c>
      <c r="B24" s="2" t="s">
        <v>80</v>
      </c>
      <c r="C24" s="2" t="s">
        <v>6</v>
      </c>
      <c r="D24" s="2" t="s">
        <v>81</v>
      </c>
    </row>
    <row r="25" customFormat="false" ht="15" hidden="false" customHeight="false" outlineLevel="0" collapsed="false">
      <c r="A25" s="2" t="s">
        <v>82</v>
      </c>
      <c r="B25" s="2" t="s">
        <v>83</v>
      </c>
      <c r="C25" s="2" t="s">
        <v>6</v>
      </c>
      <c r="D25" s="2" t="s">
        <v>84</v>
      </c>
    </row>
    <row r="26" customFormat="false" ht="23.85" hidden="false" customHeight="false" outlineLevel="0" collapsed="false">
      <c r="A26" s="2" t="s">
        <v>85</v>
      </c>
      <c r="B26" s="2" t="s">
        <v>86</v>
      </c>
      <c r="C26" s="2" t="s">
        <v>6</v>
      </c>
      <c r="D26" s="2" t="s">
        <v>87</v>
      </c>
    </row>
    <row r="27" customFormat="false" ht="15" hidden="false" customHeight="false" outlineLevel="0" collapsed="false">
      <c r="A27" s="2" t="s">
        <v>88</v>
      </c>
      <c r="B27" s="2" t="s">
        <v>89</v>
      </c>
      <c r="C27" s="2" t="s">
        <v>6</v>
      </c>
      <c r="D27" s="2" t="s">
        <v>90</v>
      </c>
    </row>
    <row r="28" customFormat="false" ht="15" hidden="false" customHeight="false" outlineLevel="0" collapsed="false">
      <c r="A28" s="2" t="s">
        <v>91</v>
      </c>
      <c r="B28" s="2" t="s">
        <v>92</v>
      </c>
      <c r="C28" s="2" t="s">
        <v>6</v>
      </c>
      <c r="D28" s="2" t="s">
        <v>93</v>
      </c>
    </row>
    <row r="29" customFormat="false" ht="15" hidden="false" customHeight="false" outlineLevel="0" collapsed="false">
      <c r="A29" s="2" t="s">
        <v>94</v>
      </c>
      <c r="B29" s="2" t="s">
        <v>95</v>
      </c>
      <c r="C29" s="2" t="s">
        <v>6</v>
      </c>
      <c r="D29" s="2" t="s">
        <v>96</v>
      </c>
    </row>
    <row r="30" customFormat="false" ht="23.85" hidden="false" customHeight="false" outlineLevel="0" collapsed="false">
      <c r="A30" s="2" t="s">
        <v>97</v>
      </c>
      <c r="B30" s="2" t="s">
        <v>98</v>
      </c>
      <c r="C30" s="2" t="s">
        <v>6</v>
      </c>
      <c r="D30" s="2" t="s">
        <v>99</v>
      </c>
    </row>
    <row r="31" customFormat="false" ht="15" hidden="false" customHeight="false" outlineLevel="0" collapsed="false">
      <c r="A31" s="2" t="s">
        <v>100</v>
      </c>
      <c r="B31" s="2" t="s">
        <v>101</v>
      </c>
      <c r="C31" s="2" t="s">
        <v>6</v>
      </c>
      <c r="D31" s="2" t="s">
        <v>102</v>
      </c>
    </row>
    <row r="32" customFormat="false" ht="23.85" hidden="false" customHeight="false" outlineLevel="0" collapsed="false">
      <c r="A32" s="2" t="s">
        <v>103</v>
      </c>
      <c r="B32" s="2" t="s">
        <v>104</v>
      </c>
      <c r="C32" s="2" t="s">
        <v>6</v>
      </c>
      <c r="D32" s="2" t="s">
        <v>105</v>
      </c>
    </row>
    <row r="33" customFormat="false" ht="15" hidden="false" customHeight="false" outlineLevel="0" collapsed="false">
      <c r="A33" s="2" t="s">
        <v>106</v>
      </c>
      <c r="B33" s="2" t="s">
        <v>107</v>
      </c>
      <c r="C33" s="2" t="s">
        <v>108</v>
      </c>
      <c r="D33" s="2" t="s">
        <v>109</v>
      </c>
    </row>
    <row r="34" customFormat="false" ht="15" hidden="false" customHeight="false" outlineLevel="0" collapsed="false">
      <c r="A34" s="2" t="s">
        <v>110</v>
      </c>
      <c r="B34" s="2" t="s">
        <v>111</v>
      </c>
      <c r="C34" s="2" t="s">
        <v>6</v>
      </c>
      <c r="D34" s="2" t="s">
        <v>112</v>
      </c>
    </row>
    <row r="35" customFormat="false" ht="23.85" hidden="false" customHeight="false" outlineLevel="0" collapsed="false">
      <c r="A35" s="2" t="s">
        <v>113</v>
      </c>
      <c r="B35" s="2" t="s">
        <v>114</v>
      </c>
      <c r="C35" s="2" t="s">
        <v>115</v>
      </c>
      <c r="D35" s="2" t="s">
        <v>116</v>
      </c>
    </row>
    <row r="36" customFormat="false" ht="15" hidden="false" customHeight="false" outlineLevel="0" collapsed="false">
      <c r="A36" s="2" t="s">
        <v>117</v>
      </c>
      <c r="B36" s="2" t="s">
        <v>118</v>
      </c>
      <c r="C36" s="2" t="s">
        <v>119</v>
      </c>
      <c r="D36" s="2" t="s">
        <v>120</v>
      </c>
    </row>
    <row r="37" customFormat="false" ht="23.85" hidden="false" customHeight="false" outlineLevel="0" collapsed="false">
      <c r="A37" s="2" t="s">
        <v>121</v>
      </c>
      <c r="B37" s="2" t="s">
        <v>122</v>
      </c>
      <c r="C37" s="2" t="s">
        <v>123</v>
      </c>
      <c r="D37" s="2" t="s">
        <v>124</v>
      </c>
    </row>
    <row r="38" customFormat="false" ht="23.85" hidden="false" customHeight="false" outlineLevel="0" collapsed="false">
      <c r="A38" s="2" t="s">
        <v>125</v>
      </c>
      <c r="B38" s="2" t="s">
        <v>126</v>
      </c>
      <c r="C38" s="2" t="s">
        <v>127</v>
      </c>
      <c r="D38" s="2" t="s">
        <v>128</v>
      </c>
    </row>
    <row r="39" customFormat="false" ht="23.85" hidden="false" customHeight="false" outlineLevel="0" collapsed="false">
      <c r="A39" s="2" t="s">
        <v>129</v>
      </c>
      <c r="B39" s="2" t="s">
        <v>130</v>
      </c>
      <c r="C39" s="2" t="s">
        <v>131</v>
      </c>
      <c r="D39" s="2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24"/>
    <col collapsed="false" customWidth="true" hidden="false" outlineLevel="0" max="4" min="4" style="0" width="40"/>
    <col collapsed="false" customWidth="true" hidden="false" outlineLevel="0" max="5" min="5" style="0" width="8"/>
    <col collapsed="false" customWidth="true" hidden="false" outlineLevel="0" max="6" min="6" style="0" width="5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1" t="s">
        <v>1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</row>
    <row r="2" customFormat="false" ht="23.85" hidden="false" customHeight="false" outlineLevel="0" collapsed="false">
      <c r="A2" s="2" t="s">
        <v>139</v>
      </c>
      <c r="B2" s="2" t="s">
        <v>140</v>
      </c>
      <c r="C2" s="2" t="s">
        <v>141</v>
      </c>
      <c r="D2" s="2" t="s">
        <v>142</v>
      </c>
      <c r="E2" s="2" t="s">
        <v>143</v>
      </c>
      <c r="F2" s="2" t="s">
        <v>144</v>
      </c>
      <c r="G2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148</v>
      </c>
      <c r="D3" s="2" t="s">
        <v>149</v>
      </c>
      <c r="E3" s="2" t="s">
        <v>143</v>
      </c>
      <c r="F3" s="2" t="s">
        <v>144</v>
      </c>
      <c r="G3" s="2" t="s">
        <v>150</v>
      </c>
    </row>
    <row r="4" customFormat="false" ht="15" hidden="false" customHeight="false" outlineLevel="0" collapsed="false">
      <c r="A4" s="2" t="s">
        <v>151</v>
      </c>
      <c r="B4" s="2" t="s">
        <v>152</v>
      </c>
      <c r="C4" s="2" t="s">
        <v>153</v>
      </c>
      <c r="D4" s="2" t="s">
        <v>154</v>
      </c>
      <c r="E4" s="2" t="s">
        <v>143</v>
      </c>
      <c r="F4" s="2" t="s">
        <v>144</v>
      </c>
      <c r="G4" s="2" t="s">
        <v>155</v>
      </c>
    </row>
    <row r="5" customFormat="false" ht="15" hidden="false" customHeight="false" outlineLevel="0" collapsed="false">
      <c r="A5" s="2" t="s">
        <v>156</v>
      </c>
      <c r="B5" s="2" t="s">
        <v>157</v>
      </c>
      <c r="C5" s="2" t="s">
        <v>158</v>
      </c>
      <c r="D5" s="2" t="s">
        <v>159</v>
      </c>
      <c r="E5" s="2" t="s">
        <v>160</v>
      </c>
      <c r="F5" s="2" t="s">
        <v>144</v>
      </c>
      <c r="G5" s="2" t="s">
        <v>160</v>
      </c>
    </row>
    <row r="6" customFormat="false" ht="15" hidden="false" customHeight="false" outlineLevel="0" collapsed="false">
      <c r="A6" s="2" t="s">
        <v>161</v>
      </c>
      <c r="B6" s="2" t="s">
        <v>157</v>
      </c>
      <c r="C6" s="2" t="s">
        <v>158</v>
      </c>
      <c r="D6" s="2" t="s">
        <v>159</v>
      </c>
      <c r="E6" s="2" t="s">
        <v>160</v>
      </c>
      <c r="F6" s="2" t="s">
        <v>144</v>
      </c>
      <c r="G6" s="2" t="s">
        <v>160</v>
      </c>
    </row>
    <row r="7" customFormat="false" ht="15" hidden="false" customHeight="false" outlineLevel="0" collapsed="false">
      <c r="A7" s="2" t="s">
        <v>162</v>
      </c>
      <c r="B7" s="2" t="s">
        <v>163</v>
      </c>
      <c r="C7" s="2" t="s">
        <v>164</v>
      </c>
      <c r="D7" s="2" t="s">
        <v>165</v>
      </c>
      <c r="E7" s="2" t="s">
        <v>143</v>
      </c>
      <c r="F7" s="2" t="s">
        <v>144</v>
      </c>
      <c r="G7" s="2" t="s">
        <v>166</v>
      </c>
    </row>
    <row r="8" customFormat="false" ht="15" hidden="false" customHeight="false" outlineLevel="0" collapsed="false">
      <c r="A8" s="2" t="s">
        <v>167</v>
      </c>
      <c r="B8" s="2" t="s">
        <v>168</v>
      </c>
      <c r="C8" s="2" t="s">
        <v>169</v>
      </c>
      <c r="D8" s="2" t="s">
        <v>170</v>
      </c>
      <c r="E8" s="2" t="s">
        <v>143</v>
      </c>
      <c r="F8" s="2" t="s">
        <v>144</v>
      </c>
      <c r="G8" s="2" t="s">
        <v>171</v>
      </c>
    </row>
    <row r="9" customFormat="false" ht="15" hidden="false" customHeight="false" outlineLevel="0" collapsed="false">
      <c r="A9" s="2" t="s">
        <v>172</v>
      </c>
      <c r="B9" s="2" t="s">
        <v>173</v>
      </c>
      <c r="C9" s="2" t="s">
        <v>174</v>
      </c>
      <c r="D9" s="2" t="s">
        <v>170</v>
      </c>
      <c r="E9" s="2" t="s">
        <v>143</v>
      </c>
      <c r="F9" s="2" t="s">
        <v>144</v>
      </c>
      <c r="G9" s="2" t="s">
        <v>171</v>
      </c>
    </row>
    <row r="10" customFormat="false" ht="15" hidden="false" customHeight="false" outlineLevel="0" collapsed="false">
      <c r="A10" s="2" t="s">
        <v>175</v>
      </c>
      <c r="B10" s="2" t="s">
        <v>176</v>
      </c>
      <c r="C10" s="2" t="s">
        <v>177</v>
      </c>
      <c r="D10" s="2" t="s">
        <v>170</v>
      </c>
      <c r="E10" s="2" t="s">
        <v>143</v>
      </c>
      <c r="F10" s="2" t="s">
        <v>144</v>
      </c>
      <c r="G10" s="2" t="s">
        <v>171</v>
      </c>
    </row>
    <row r="11" customFormat="false" ht="15" hidden="false" customHeight="false" outlineLevel="0" collapsed="false">
      <c r="A11" s="2" t="s">
        <v>178</v>
      </c>
      <c r="B11" s="2" t="s">
        <v>179</v>
      </c>
      <c r="C11" s="2" t="s">
        <v>180</v>
      </c>
      <c r="D11" s="2" t="s">
        <v>170</v>
      </c>
      <c r="E11" s="2" t="s">
        <v>143</v>
      </c>
      <c r="F11" s="2" t="s">
        <v>144</v>
      </c>
      <c r="G11" s="2" t="s">
        <v>171</v>
      </c>
    </row>
    <row r="12" customFormat="false" ht="15" hidden="false" customHeight="false" outlineLevel="0" collapsed="false">
      <c r="A12" s="2" t="s">
        <v>181</v>
      </c>
      <c r="B12" s="2" t="s">
        <v>182</v>
      </c>
      <c r="C12" s="2" t="s">
        <v>183</v>
      </c>
      <c r="D12" s="2" t="s">
        <v>170</v>
      </c>
      <c r="E12" s="2" t="s">
        <v>143</v>
      </c>
      <c r="F12" s="2" t="s">
        <v>144</v>
      </c>
      <c r="G12" s="2" t="s">
        <v>171</v>
      </c>
    </row>
    <row r="13" customFormat="false" ht="23.85" hidden="false" customHeight="false" outlineLevel="0" collapsed="false">
      <c r="A13" s="2" t="s">
        <v>184</v>
      </c>
      <c r="B13" s="2" t="s">
        <v>185</v>
      </c>
      <c r="C13" s="2" t="s">
        <v>186</v>
      </c>
      <c r="D13" s="2" t="s">
        <v>187</v>
      </c>
      <c r="E13" s="2" t="s">
        <v>160</v>
      </c>
      <c r="F13" s="2" t="s">
        <v>144</v>
      </c>
      <c r="G13" s="2" t="s">
        <v>188</v>
      </c>
    </row>
    <row r="14" customFormat="false" ht="23.85" hidden="false" customHeight="false" outlineLevel="0" collapsed="false">
      <c r="A14" s="2" t="s">
        <v>189</v>
      </c>
      <c r="B14" s="2" t="s">
        <v>190</v>
      </c>
      <c r="C14" s="2" t="s">
        <v>191</v>
      </c>
      <c r="D14" s="2" t="s">
        <v>192</v>
      </c>
      <c r="E14" s="2" t="s">
        <v>160</v>
      </c>
      <c r="F14" s="2" t="s">
        <v>144</v>
      </c>
      <c r="G14" s="2" t="s">
        <v>193</v>
      </c>
    </row>
    <row r="15" customFormat="false" ht="15" hidden="false" customHeight="false" outlineLevel="0" collapsed="false">
      <c r="A15" s="2" t="s">
        <v>194</v>
      </c>
      <c r="B15" s="2" t="s">
        <v>190</v>
      </c>
      <c r="C15" s="2" t="s">
        <v>191</v>
      </c>
      <c r="D15" s="2" t="s">
        <v>192</v>
      </c>
      <c r="E15" s="2" t="s">
        <v>160</v>
      </c>
      <c r="F15" s="2" t="s">
        <v>144</v>
      </c>
      <c r="G15" s="2" t="s">
        <v>195</v>
      </c>
    </row>
    <row r="16" customFormat="false" ht="15" hidden="false" customHeight="false" outlineLevel="0" collapsed="false">
      <c r="A16" s="2" t="s">
        <v>196</v>
      </c>
      <c r="B16" s="2" t="s">
        <v>197</v>
      </c>
      <c r="C16" s="2" t="s">
        <v>198</v>
      </c>
      <c r="D16" s="2" t="s">
        <v>199</v>
      </c>
      <c r="E16" s="2" t="s">
        <v>160</v>
      </c>
      <c r="F16" s="2" t="s">
        <v>144</v>
      </c>
      <c r="G16" s="2" t="s">
        <v>200</v>
      </c>
    </row>
    <row r="17" customFormat="false" ht="23.85" hidden="false" customHeight="false" outlineLevel="0" collapsed="false">
      <c r="A17" s="2" t="s">
        <v>201</v>
      </c>
      <c r="B17" s="2" t="s">
        <v>202</v>
      </c>
      <c r="C17" s="2" t="s">
        <v>203</v>
      </c>
      <c r="D17" s="2" t="s">
        <v>204</v>
      </c>
      <c r="E17" s="2" t="s">
        <v>143</v>
      </c>
      <c r="F17" s="2" t="s">
        <v>144</v>
      </c>
      <c r="G17" s="2" t="s">
        <v>205</v>
      </c>
    </row>
    <row r="18" customFormat="false" ht="15" hidden="false" customHeight="false" outlineLevel="0" collapsed="false">
      <c r="A18" s="2" t="s">
        <v>206</v>
      </c>
      <c r="B18" s="2" t="s">
        <v>207</v>
      </c>
      <c r="C18" s="2" t="s">
        <v>208</v>
      </c>
      <c r="D18" s="2" t="s">
        <v>209</v>
      </c>
      <c r="E18" s="2" t="s">
        <v>143</v>
      </c>
      <c r="F18" s="2" t="s">
        <v>144</v>
      </c>
      <c r="G18" s="2" t="s">
        <v>210</v>
      </c>
    </row>
    <row r="19" customFormat="false" ht="15" hidden="false" customHeight="false" outlineLevel="0" collapsed="false">
      <c r="A19" s="2" t="s">
        <v>211</v>
      </c>
      <c r="B19" s="2" t="s">
        <v>207</v>
      </c>
      <c r="C19" s="2" t="s">
        <v>208</v>
      </c>
      <c r="D19" s="2" t="s">
        <v>209</v>
      </c>
      <c r="E19" s="2" t="s">
        <v>143</v>
      </c>
      <c r="F19" s="2" t="s">
        <v>144</v>
      </c>
      <c r="G19" s="2" t="s">
        <v>210</v>
      </c>
    </row>
    <row r="20" customFormat="false" ht="23.85" hidden="false" customHeight="false" outlineLevel="0" collapsed="false">
      <c r="A20" s="2" t="s">
        <v>212</v>
      </c>
      <c r="B20" s="2" t="s">
        <v>213</v>
      </c>
      <c r="C20" s="2" t="s">
        <v>214</v>
      </c>
      <c r="D20" s="2" t="s">
        <v>215</v>
      </c>
      <c r="E20" s="2" t="s">
        <v>160</v>
      </c>
      <c r="F20" s="2" t="s">
        <v>144</v>
      </c>
      <c r="G20" s="2" t="s">
        <v>160</v>
      </c>
    </row>
    <row r="21" customFormat="false" ht="23.85" hidden="false" customHeight="false" outlineLevel="0" collapsed="false">
      <c r="A21" s="2" t="s">
        <v>216</v>
      </c>
      <c r="B21" s="2" t="s">
        <v>213</v>
      </c>
      <c r="C21" s="2" t="s">
        <v>214</v>
      </c>
      <c r="D21" s="2" t="s">
        <v>215</v>
      </c>
      <c r="E21" s="2" t="s">
        <v>160</v>
      </c>
      <c r="F21" s="2" t="s">
        <v>144</v>
      </c>
      <c r="G21" s="2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8"/>
    <col collapsed="false" customWidth="true" hidden="false" outlineLevel="0" max="12" min="12" style="0" width="14"/>
    <col collapsed="false" customWidth="true" hidden="false" outlineLevel="0" max="14" min="13" style="0" width="60"/>
  </cols>
  <sheetData>
    <row r="1" customFormat="false" ht="15" hidden="false" customHeight="false" outlineLevel="0" collapsed="false">
      <c r="A1" s="3" t="s">
        <v>217</v>
      </c>
      <c r="B1" s="4" t="n">
        <v>10</v>
      </c>
      <c r="C1" s="5" t="s">
        <v>218</v>
      </c>
    </row>
    <row r="3" customFormat="false" ht="39.55" hidden="false" customHeight="false" outlineLevel="0" collapsed="false">
      <c r="A3" s="1" t="s">
        <v>3</v>
      </c>
      <c r="B3" s="1" t="s">
        <v>219</v>
      </c>
      <c r="C3" s="1" t="s">
        <v>220</v>
      </c>
      <c r="D3" s="1" t="s">
        <v>221</v>
      </c>
      <c r="E3" s="1" t="s">
        <v>222</v>
      </c>
      <c r="F3" s="1" t="s">
        <v>223</v>
      </c>
      <c r="G3" s="1" t="s">
        <v>224</v>
      </c>
      <c r="H3" s="1" t="s">
        <v>225</v>
      </c>
      <c r="I3" s="1" t="s">
        <v>226</v>
      </c>
      <c r="J3" s="1" t="s">
        <v>227</v>
      </c>
      <c r="K3" s="1" t="s">
        <v>228</v>
      </c>
      <c r="L3" s="1" t="s">
        <v>229</v>
      </c>
      <c r="M3" s="1" t="s">
        <v>230</v>
      </c>
      <c r="N3" s="1" t="s">
        <v>231</v>
      </c>
    </row>
    <row r="4" customFormat="false" ht="23.85" hidden="false" customHeight="false" outlineLevel="0" collapsed="false">
      <c r="A4" s="2" t="s">
        <v>7</v>
      </c>
      <c r="B4" s="2" t="s">
        <v>232</v>
      </c>
      <c r="C4" s="2" t="s">
        <v>233</v>
      </c>
      <c r="D4" s="2" t="s">
        <v>6</v>
      </c>
      <c r="E4" s="2" t="s">
        <v>5</v>
      </c>
      <c r="F4" s="2" t="n">
        <v>8</v>
      </c>
      <c r="G4" s="2" t="n">
        <f aca="false">F4*$B$1</f>
        <v>80</v>
      </c>
      <c r="H4" s="2" t="n">
        <v>1696733</v>
      </c>
      <c r="I4" s="2" t="s">
        <v>234</v>
      </c>
      <c r="J4" s="2" t="n">
        <v>0.0143</v>
      </c>
      <c r="K4" s="2" t="str">
        <f aca="false">IF(H4&lt;G4,"SHORT",IF(H4&lt;5*G4,"LOW","OK"))</f>
        <v>OK</v>
      </c>
      <c r="L4" s="2" t="s">
        <v>235</v>
      </c>
      <c r="M4" s="2" t="s">
        <v>236</v>
      </c>
      <c r="N4" s="2" t="s">
        <v>237</v>
      </c>
    </row>
    <row r="5" customFormat="false" ht="23.85" hidden="false" customHeight="false" outlineLevel="0" collapsed="false">
      <c r="A5" s="2" t="s">
        <v>10</v>
      </c>
      <c r="B5" s="2" t="s">
        <v>238</v>
      </c>
      <c r="C5" s="2" t="s">
        <v>233</v>
      </c>
      <c r="D5" s="2" t="s">
        <v>6</v>
      </c>
      <c r="E5" s="2" t="s">
        <v>9</v>
      </c>
      <c r="F5" s="2" t="n">
        <v>3</v>
      </c>
      <c r="G5" s="2" t="n">
        <f aca="false">F5*$B$1</f>
        <v>30</v>
      </c>
      <c r="H5" s="2" t="n">
        <v>836122</v>
      </c>
      <c r="I5" s="2" t="s">
        <v>239</v>
      </c>
      <c r="J5" s="2" t="n">
        <v>0.0297</v>
      </c>
      <c r="K5" s="2" t="str">
        <f aca="false">IF(H5&lt;G5,"SHORT",IF(H5&lt;5*G5,"LOW","OK"))</f>
        <v>OK</v>
      </c>
      <c r="L5" s="2"/>
      <c r="M5" s="2"/>
      <c r="N5" s="2" t="s">
        <v>237</v>
      </c>
    </row>
    <row r="6" customFormat="false" ht="23.85" hidden="false" customHeight="false" outlineLevel="0" collapsed="false">
      <c r="A6" s="2" t="s">
        <v>14</v>
      </c>
      <c r="B6" s="2" t="s">
        <v>240</v>
      </c>
      <c r="C6" s="2" t="s">
        <v>241</v>
      </c>
      <c r="D6" s="2" t="s">
        <v>13</v>
      </c>
      <c r="E6" s="2" t="s">
        <v>12</v>
      </c>
      <c r="F6" s="2" t="n">
        <v>5</v>
      </c>
      <c r="G6" s="2" t="n">
        <f aca="false">F6*$B$1</f>
        <v>50</v>
      </c>
      <c r="H6" s="2" t="n">
        <v>54269</v>
      </c>
      <c r="I6" s="2" t="s">
        <v>234</v>
      </c>
      <c r="J6" s="2" t="n">
        <v>0.0384</v>
      </c>
      <c r="K6" s="2" t="str">
        <f aca="false">IF(H6&lt;G6,"SHORT",IF(H6&lt;5*G6,"LOW","OK"))</f>
        <v>OK</v>
      </c>
      <c r="L6" s="2"/>
      <c r="M6" s="2"/>
      <c r="N6" s="2" t="s">
        <v>237</v>
      </c>
    </row>
    <row r="7" customFormat="false" ht="23.85" hidden="false" customHeight="false" outlineLevel="0" collapsed="false">
      <c r="A7" s="2" t="s">
        <v>17</v>
      </c>
      <c r="B7" s="2" t="s">
        <v>242</v>
      </c>
      <c r="C7" s="2" t="s">
        <v>233</v>
      </c>
      <c r="D7" s="2" t="s">
        <v>6</v>
      </c>
      <c r="E7" s="2" t="s">
        <v>16</v>
      </c>
      <c r="F7" s="2" t="n">
        <v>2</v>
      </c>
      <c r="G7" s="2" t="n">
        <f aca="false">F7*$B$1</f>
        <v>20</v>
      </c>
      <c r="H7" s="2" t="n">
        <v>170136</v>
      </c>
      <c r="I7" s="2" t="s">
        <v>234</v>
      </c>
      <c r="J7" s="2" t="n">
        <v>0.0199</v>
      </c>
      <c r="K7" s="2" t="str">
        <f aca="false">IF(H7&lt;G7,"SHORT",IF(H7&lt;5*G7,"LOW","OK"))</f>
        <v>OK</v>
      </c>
      <c r="L7" s="2" t="s">
        <v>243</v>
      </c>
      <c r="M7" s="2" t="s">
        <v>244</v>
      </c>
      <c r="N7" s="2" t="s">
        <v>237</v>
      </c>
    </row>
    <row r="8" customFormat="false" ht="23.85" hidden="false" customHeight="false" outlineLevel="0" collapsed="false">
      <c r="A8" s="2" t="s">
        <v>20</v>
      </c>
      <c r="B8" s="2" t="s">
        <v>245</v>
      </c>
      <c r="C8" s="2" t="s">
        <v>233</v>
      </c>
      <c r="D8" s="2" t="s">
        <v>6</v>
      </c>
      <c r="E8" s="2" t="s">
        <v>19</v>
      </c>
      <c r="F8" s="2" t="n">
        <v>1</v>
      </c>
      <c r="G8" s="2" t="n">
        <f aca="false">F8*$B$1</f>
        <v>10</v>
      </c>
      <c r="H8" s="2" t="n">
        <v>1803414</v>
      </c>
      <c r="I8" s="2" t="s">
        <v>234</v>
      </c>
      <c r="J8" s="2" t="n">
        <v>0.0131</v>
      </c>
      <c r="K8" s="2" t="str">
        <f aca="false">IF(H8&lt;G8,"SHORT",IF(H8&lt;5*G8,"LOW","OK"))</f>
        <v>OK</v>
      </c>
      <c r="L8" s="2" t="s">
        <v>246</v>
      </c>
      <c r="M8" s="2" t="s">
        <v>247</v>
      </c>
      <c r="N8" s="2" t="s">
        <v>237</v>
      </c>
    </row>
    <row r="9" customFormat="false" ht="35.05" hidden="false" customHeight="false" outlineLevel="0" collapsed="false">
      <c r="A9" s="2" t="s">
        <v>23</v>
      </c>
      <c r="B9" s="2" t="s">
        <v>248</v>
      </c>
      <c r="C9" s="2" t="s">
        <v>249</v>
      </c>
      <c r="D9" s="2" t="s">
        <v>6</v>
      </c>
      <c r="E9" s="2" t="s">
        <v>22</v>
      </c>
      <c r="F9" s="2" t="n">
        <v>4</v>
      </c>
      <c r="G9" s="2" t="n">
        <f aca="false">F9*$B$1</f>
        <v>40</v>
      </c>
      <c r="H9" s="2" t="n">
        <v>6247019</v>
      </c>
      <c r="I9" s="2" t="s">
        <v>239</v>
      </c>
      <c r="J9" s="2" t="n">
        <v>0.0101</v>
      </c>
      <c r="K9" s="2" t="str">
        <f aca="false">IF(H9&lt;G9,"SHORT",IF(H9&lt;5*G9,"LOW","OK"))</f>
        <v>OK</v>
      </c>
      <c r="L9" s="2"/>
      <c r="M9" s="2"/>
      <c r="N9" s="2" t="s">
        <v>237</v>
      </c>
    </row>
    <row r="10" customFormat="false" ht="23.85" hidden="false" customHeight="false" outlineLevel="0" collapsed="false">
      <c r="A10" s="2" t="s">
        <v>27</v>
      </c>
      <c r="B10" s="2" t="s">
        <v>250</v>
      </c>
      <c r="C10" s="2" t="s">
        <v>233</v>
      </c>
      <c r="D10" s="2" t="s">
        <v>26</v>
      </c>
      <c r="E10" s="2" t="s">
        <v>25</v>
      </c>
      <c r="F10" s="2" t="n">
        <v>2</v>
      </c>
      <c r="G10" s="2" t="n">
        <f aca="false">F10*$B$1</f>
        <v>20</v>
      </c>
      <c r="H10" s="2" t="n">
        <v>3999370</v>
      </c>
      <c r="I10" s="2" t="s">
        <v>239</v>
      </c>
      <c r="J10" s="2" t="n">
        <v>0.0689</v>
      </c>
      <c r="K10" s="2" t="str">
        <f aca="false">IF(H10&lt;G10,"SHORT",IF(H10&lt;5*G10,"LOW","OK"))</f>
        <v>OK</v>
      </c>
      <c r="L10" s="2"/>
      <c r="M10" s="2"/>
      <c r="N10" s="2" t="s">
        <v>237</v>
      </c>
    </row>
    <row r="11" customFormat="false" ht="23.85" hidden="false" customHeight="false" outlineLevel="0" collapsed="false">
      <c r="A11" s="2" t="s">
        <v>30</v>
      </c>
      <c r="B11" s="2" t="s">
        <v>251</v>
      </c>
      <c r="C11" s="2" t="s">
        <v>233</v>
      </c>
      <c r="D11" s="2" t="s">
        <v>26</v>
      </c>
      <c r="E11" s="2" t="s">
        <v>29</v>
      </c>
      <c r="F11" s="2" t="n">
        <v>1</v>
      </c>
      <c r="G11" s="2" t="n">
        <f aca="false">F11*$B$1</f>
        <v>10</v>
      </c>
      <c r="H11" s="2" t="n">
        <v>3483126</v>
      </c>
      <c r="I11" s="2" t="s">
        <v>239</v>
      </c>
      <c r="J11" s="2" t="n">
        <v>0.2372</v>
      </c>
      <c r="K11" s="2" t="str">
        <f aca="false">IF(H11&lt;G11,"SHORT",IF(H11&lt;5*G11,"LOW","OK"))</f>
        <v>OK</v>
      </c>
      <c r="L11" s="2"/>
      <c r="M11" s="2"/>
      <c r="N11" s="2" t="s">
        <v>237</v>
      </c>
    </row>
    <row r="12" customFormat="false" ht="35.05" hidden="false" customHeight="false" outlineLevel="0" collapsed="false">
      <c r="A12" s="2" t="s">
        <v>34</v>
      </c>
      <c r="B12" s="2" t="s">
        <v>252</v>
      </c>
      <c r="C12" s="2" t="s">
        <v>253</v>
      </c>
      <c r="D12" s="2" t="s">
        <v>33</v>
      </c>
      <c r="E12" s="2" t="s">
        <v>32</v>
      </c>
      <c r="F12" s="2" t="n">
        <v>1</v>
      </c>
      <c r="G12" s="2" t="n">
        <f aca="false">F12*$B$1</f>
        <v>10</v>
      </c>
      <c r="H12" s="2" t="n">
        <v>501</v>
      </c>
      <c r="I12" s="2" t="s">
        <v>234</v>
      </c>
      <c r="J12" s="2" t="n">
        <v>0.2814</v>
      </c>
      <c r="K12" s="2" t="str">
        <f aca="false">IF(H12&lt;G12,"SHORT",IF(H12&lt;5*G12,"LOW","OK"))</f>
        <v>OK</v>
      </c>
      <c r="L12" s="2" t="s">
        <v>254</v>
      </c>
      <c r="M12" s="2" t="s">
        <v>255</v>
      </c>
      <c r="N12" s="2" t="s">
        <v>256</v>
      </c>
    </row>
    <row r="13" customFormat="false" ht="23.85" hidden="false" customHeight="false" outlineLevel="0" collapsed="false">
      <c r="A13" s="2" t="s">
        <v>38</v>
      </c>
      <c r="B13" s="2" t="s">
        <v>257</v>
      </c>
      <c r="C13" s="2" t="s">
        <v>258</v>
      </c>
      <c r="D13" s="2" t="s">
        <v>37</v>
      </c>
      <c r="E13" s="2" t="s">
        <v>36</v>
      </c>
      <c r="F13" s="2" t="n">
        <v>4</v>
      </c>
      <c r="G13" s="2" t="n">
        <f aca="false">F13*$B$1</f>
        <v>40</v>
      </c>
      <c r="H13" s="2" t="n">
        <v>3587</v>
      </c>
      <c r="I13" s="2" t="s">
        <v>234</v>
      </c>
      <c r="J13" s="2" t="n">
        <v>0.0199</v>
      </c>
      <c r="K13" s="2" t="str">
        <f aca="false">IF(H13&lt;G13,"SHORT",IF(H13&lt;5*G13,"LOW","OK"))</f>
        <v>OK</v>
      </c>
      <c r="L13" s="2"/>
      <c r="M13" s="2"/>
      <c r="N13" s="2" t="s">
        <v>237</v>
      </c>
    </row>
    <row r="14" customFormat="false" ht="15" hidden="false" customHeight="false" outlineLevel="0" collapsed="false">
      <c r="A14" s="2" t="s">
        <v>41</v>
      </c>
      <c r="B14" s="2" t="s">
        <v>259</v>
      </c>
      <c r="C14" s="2" t="s">
        <v>260</v>
      </c>
      <c r="D14" s="2" t="s">
        <v>6</v>
      </c>
      <c r="E14" s="2" t="s">
        <v>40</v>
      </c>
      <c r="F14" s="2" t="n">
        <v>5</v>
      </c>
      <c r="G14" s="2" t="n">
        <f aca="false">F14*$B$1</f>
        <v>50</v>
      </c>
      <c r="H14" s="2" t="n">
        <v>1361603</v>
      </c>
      <c r="I14" s="2" t="s">
        <v>239</v>
      </c>
      <c r="J14" s="2" t="n">
        <v>0.0146</v>
      </c>
      <c r="K14" s="2" t="str">
        <f aca="false">IF(H14&lt;G14,"SHORT",IF(H14&lt;5*G14,"LOW","OK"))</f>
        <v>OK</v>
      </c>
      <c r="L14" s="2"/>
      <c r="M14" s="2"/>
      <c r="N14" s="2" t="s">
        <v>237</v>
      </c>
    </row>
    <row r="15" customFormat="false" ht="23.85" hidden="false" customHeight="false" outlineLevel="0" collapsed="false">
      <c r="A15" s="2" t="s">
        <v>45</v>
      </c>
      <c r="B15" s="2" t="s">
        <v>261</v>
      </c>
      <c r="C15" s="2" t="s">
        <v>262</v>
      </c>
      <c r="D15" s="2" t="s">
        <v>44</v>
      </c>
      <c r="E15" s="2" t="s">
        <v>43</v>
      </c>
      <c r="F15" s="2" t="n">
        <v>1</v>
      </c>
      <c r="G15" s="2" t="n">
        <f aca="false">F15*$B$1</f>
        <v>10</v>
      </c>
      <c r="H15" s="2" t="n">
        <v>1407</v>
      </c>
      <c r="I15" s="2" t="s">
        <v>234</v>
      </c>
      <c r="J15" s="2" t="n">
        <v>0.2909</v>
      </c>
      <c r="K15" s="2" t="str">
        <f aca="false">IF(H15&lt;G15,"SHORT",IF(H15&lt;5*G15,"LOW","OK"))</f>
        <v>OK</v>
      </c>
      <c r="L15" s="2"/>
      <c r="M15" s="2"/>
      <c r="N15" s="2" t="s">
        <v>263</v>
      </c>
    </row>
    <row r="16" customFormat="false" ht="15" hidden="false" customHeight="false" outlineLevel="0" collapsed="false">
      <c r="A16" s="2" t="s">
        <v>49</v>
      </c>
      <c r="B16" s="2" t="s">
        <v>264</v>
      </c>
      <c r="C16" s="2" t="s">
        <v>260</v>
      </c>
      <c r="D16" s="2" t="s">
        <v>265</v>
      </c>
      <c r="E16" s="2" t="s">
        <v>47</v>
      </c>
      <c r="F16" s="2" t="n">
        <v>1</v>
      </c>
      <c r="G16" s="2" t="n">
        <f aca="false">F16*$B$1</f>
        <v>10</v>
      </c>
      <c r="H16" s="2" t="n">
        <v>6347</v>
      </c>
      <c r="I16" s="2" t="s">
        <v>234</v>
      </c>
      <c r="J16" s="2" t="n">
        <v>0.1522</v>
      </c>
      <c r="K16" s="2" t="str">
        <f aca="false">IF(H16&lt;G16,"SHORT",IF(H16&lt;5*G16,"LOW","OK"))</f>
        <v>OK</v>
      </c>
      <c r="L16" s="2"/>
      <c r="M16" s="2"/>
      <c r="N16" s="2" t="s">
        <v>237</v>
      </c>
    </row>
    <row r="17" customFormat="false" ht="15" hidden="false" customHeight="false" outlineLevel="0" collapsed="false">
      <c r="A17" s="2" t="s">
        <v>52</v>
      </c>
      <c r="B17" s="2" t="s">
        <v>266</v>
      </c>
      <c r="C17" s="2" t="s">
        <v>267</v>
      </c>
      <c r="D17" s="2" t="s">
        <v>44</v>
      </c>
      <c r="E17" s="2" t="s">
        <v>51</v>
      </c>
      <c r="F17" s="2" t="n">
        <v>1</v>
      </c>
      <c r="G17" s="2" t="n">
        <f aca="false">F17*$B$1</f>
        <v>10</v>
      </c>
      <c r="H17" s="2" t="n">
        <v>17448</v>
      </c>
      <c r="I17" s="2" t="s">
        <v>234</v>
      </c>
      <c r="J17" s="2" t="n">
        <v>1.3896</v>
      </c>
      <c r="K17" s="2" t="str">
        <f aca="false">IF(H17&lt;G17,"SHORT",IF(H17&lt;5*G17,"LOW","OK"))</f>
        <v>OK</v>
      </c>
      <c r="L17" s="2"/>
      <c r="M17" s="2"/>
      <c r="N17" s="2" t="s">
        <v>237</v>
      </c>
    </row>
    <row r="18" customFormat="false" ht="15" hidden="false" customHeight="false" outlineLevel="0" collapsed="false">
      <c r="A18" s="2" t="s">
        <v>55</v>
      </c>
      <c r="B18" s="2" t="s">
        <v>268</v>
      </c>
      <c r="C18" s="2" t="s">
        <v>269</v>
      </c>
      <c r="D18" s="2" t="s">
        <v>44</v>
      </c>
      <c r="E18" s="2" t="s">
        <v>54</v>
      </c>
      <c r="F18" s="2" t="n">
        <v>1</v>
      </c>
      <c r="G18" s="2" t="n">
        <f aca="false">F18*$B$1</f>
        <v>10</v>
      </c>
      <c r="H18" s="2" t="n">
        <v>359711</v>
      </c>
      <c r="I18" s="2" t="s">
        <v>234</v>
      </c>
      <c r="J18" s="2" t="n">
        <v>0.0689</v>
      </c>
      <c r="K18" s="2" t="str">
        <f aca="false">IF(H18&lt;G18,"SHORT",IF(H18&lt;5*G18,"LOW","OK"))</f>
        <v>OK</v>
      </c>
      <c r="L18" s="2"/>
      <c r="M18" s="2"/>
      <c r="N18" s="2" t="s">
        <v>237</v>
      </c>
    </row>
    <row r="19" customFormat="false" ht="35.05" hidden="false" customHeight="false" outlineLevel="0" collapsed="false">
      <c r="A19" s="2" t="s">
        <v>59</v>
      </c>
      <c r="B19" s="2" t="s">
        <v>270</v>
      </c>
      <c r="C19" s="2" t="s">
        <v>271</v>
      </c>
      <c r="D19" s="2" t="s">
        <v>58</v>
      </c>
      <c r="E19" s="2" t="s">
        <v>57</v>
      </c>
      <c r="F19" s="2" t="n">
        <v>6</v>
      </c>
      <c r="G19" s="2" t="n">
        <f aca="false">F19*$B$1</f>
        <v>60</v>
      </c>
      <c r="H19" s="2" t="n">
        <v>604913</v>
      </c>
      <c r="I19" s="2" t="s">
        <v>239</v>
      </c>
      <c r="J19" s="2" t="n">
        <v>0.0116</v>
      </c>
      <c r="K19" s="2" t="str">
        <f aca="false">IF(H19&lt;G19,"SHORT",IF(H19&lt;5*G19,"LOW","OK"))</f>
        <v>OK</v>
      </c>
      <c r="L19" s="2"/>
      <c r="M19" s="2"/>
      <c r="N19" s="2" t="s">
        <v>237</v>
      </c>
    </row>
    <row r="20" customFormat="false" ht="23.85" hidden="false" customHeight="false" outlineLevel="0" collapsed="false">
      <c r="A20" s="2" t="s">
        <v>62</v>
      </c>
      <c r="B20" s="2" t="s">
        <v>272</v>
      </c>
      <c r="C20" s="2" t="s">
        <v>273</v>
      </c>
      <c r="D20" s="2" t="s">
        <v>6</v>
      </c>
      <c r="E20" s="2" t="s">
        <v>61</v>
      </c>
      <c r="F20" s="2" t="n">
        <v>1</v>
      </c>
      <c r="G20" s="2" t="n">
        <f aca="false">F20*$B$1</f>
        <v>10</v>
      </c>
      <c r="H20" s="2" t="n">
        <v>6533239</v>
      </c>
      <c r="I20" s="2" t="s">
        <v>239</v>
      </c>
      <c r="J20" s="2" t="n">
        <v>0.0032</v>
      </c>
      <c r="K20" s="2" t="str">
        <f aca="false">IF(H20&lt;G20,"SHORT",IF(H20&lt;5*G20,"LOW","OK"))</f>
        <v>OK</v>
      </c>
      <c r="L20" s="2"/>
      <c r="M20" s="2"/>
      <c r="N20" s="2" t="s">
        <v>237</v>
      </c>
    </row>
    <row r="21" customFormat="false" ht="23.85" hidden="false" customHeight="false" outlineLevel="0" collapsed="false">
      <c r="A21" s="2" t="s">
        <v>65</v>
      </c>
      <c r="B21" s="2" t="s">
        <v>274</v>
      </c>
      <c r="C21" s="2" t="s">
        <v>273</v>
      </c>
      <c r="D21" s="2" t="s">
        <v>6</v>
      </c>
      <c r="E21" s="2" t="s">
        <v>64</v>
      </c>
      <c r="F21" s="2" t="n">
        <v>2</v>
      </c>
      <c r="G21" s="2" t="n">
        <f aca="false">F21*$B$1</f>
        <v>20</v>
      </c>
      <c r="H21" s="2" t="n">
        <v>24638739</v>
      </c>
      <c r="I21" s="2" t="s">
        <v>239</v>
      </c>
      <c r="J21" s="2" t="n">
        <v>0.0022</v>
      </c>
      <c r="K21" s="2" t="str">
        <f aca="false">IF(H21&lt;G21,"SHORT",IF(H21&lt;5*G21,"LOW","OK"))</f>
        <v>OK</v>
      </c>
      <c r="L21" s="2"/>
      <c r="M21" s="2"/>
      <c r="N21" s="2" t="s">
        <v>237</v>
      </c>
    </row>
    <row r="22" customFormat="false" ht="15" hidden="false" customHeight="false" outlineLevel="0" collapsed="false">
      <c r="A22" s="2" t="s">
        <v>69</v>
      </c>
      <c r="B22" s="2" t="s">
        <v>275</v>
      </c>
      <c r="C22" s="2" t="s">
        <v>276</v>
      </c>
      <c r="D22" s="2" t="s">
        <v>68</v>
      </c>
      <c r="E22" s="2" t="s">
        <v>67</v>
      </c>
      <c r="F22" s="2" t="n">
        <v>1</v>
      </c>
      <c r="G22" s="2" t="n">
        <f aca="false">F22*$B$1</f>
        <v>10</v>
      </c>
      <c r="H22" s="2" t="n">
        <v>215344</v>
      </c>
      <c r="I22" s="2" t="s">
        <v>234</v>
      </c>
      <c r="J22" s="2" t="n">
        <v>0.0083</v>
      </c>
      <c r="K22" s="2" t="str">
        <f aca="false">IF(H22&lt;G22,"SHORT",IF(H22&lt;5*G22,"LOW","OK"))</f>
        <v>OK</v>
      </c>
      <c r="L22" s="2"/>
      <c r="M22" s="2"/>
      <c r="N22" s="2" t="s">
        <v>237</v>
      </c>
    </row>
    <row r="23" customFormat="false" ht="23.85" hidden="false" customHeight="false" outlineLevel="0" collapsed="false">
      <c r="A23" s="2" t="s">
        <v>72</v>
      </c>
      <c r="B23" s="2" t="s">
        <v>277</v>
      </c>
      <c r="C23" s="2" t="s">
        <v>273</v>
      </c>
      <c r="D23" s="2" t="s">
        <v>6</v>
      </c>
      <c r="E23" s="2" t="s">
        <v>71</v>
      </c>
      <c r="F23" s="2" t="n">
        <v>1</v>
      </c>
      <c r="G23" s="2" t="n">
        <f aca="false">F23*$B$1</f>
        <v>10</v>
      </c>
      <c r="H23" s="2" t="n">
        <v>557932</v>
      </c>
      <c r="I23" s="2" t="s">
        <v>234</v>
      </c>
      <c r="J23" s="2" t="n">
        <v>0.0018</v>
      </c>
      <c r="K23" s="2" t="str">
        <f aca="false">IF(H23&lt;G23,"SHORT",IF(H23&lt;5*G23,"LOW","OK"))</f>
        <v>OK</v>
      </c>
      <c r="L23" s="2" t="s">
        <v>278</v>
      </c>
      <c r="M23" s="2" t="s">
        <v>279</v>
      </c>
      <c r="N23" s="2" t="s">
        <v>237</v>
      </c>
    </row>
    <row r="24" customFormat="false" ht="23.85" hidden="false" customHeight="false" outlineLevel="0" collapsed="false">
      <c r="A24" s="2" t="s">
        <v>75</v>
      </c>
      <c r="B24" s="2" t="s">
        <v>280</v>
      </c>
      <c r="C24" s="2" t="s">
        <v>273</v>
      </c>
      <c r="D24" s="2" t="s">
        <v>6</v>
      </c>
      <c r="E24" s="2" t="s">
        <v>74</v>
      </c>
      <c r="F24" s="2" t="n">
        <v>1</v>
      </c>
      <c r="G24" s="2" t="n">
        <f aca="false">F24*$B$1</f>
        <v>10</v>
      </c>
      <c r="H24" s="2" t="n">
        <v>800608</v>
      </c>
      <c r="I24" s="2" t="s">
        <v>239</v>
      </c>
      <c r="J24" s="2" t="n">
        <v>0.0021</v>
      </c>
      <c r="K24" s="2" t="str">
        <f aca="false">IF(H24&lt;G24,"SHORT",IF(H24&lt;5*G24,"LOW","OK"))</f>
        <v>OK</v>
      </c>
      <c r="L24" s="2"/>
      <c r="M24" s="2"/>
      <c r="N24" s="2" t="s">
        <v>237</v>
      </c>
    </row>
    <row r="25" customFormat="false" ht="23.85" hidden="false" customHeight="false" outlineLevel="0" collapsed="false">
      <c r="A25" s="2" t="s">
        <v>78</v>
      </c>
      <c r="B25" s="2" t="s">
        <v>281</v>
      </c>
      <c r="C25" s="2" t="s">
        <v>273</v>
      </c>
      <c r="D25" s="2" t="s">
        <v>6</v>
      </c>
      <c r="E25" s="2" t="s">
        <v>77</v>
      </c>
      <c r="F25" s="2" t="n">
        <v>5</v>
      </c>
      <c r="G25" s="2" t="n">
        <f aca="false">F25*$B$1</f>
        <v>50</v>
      </c>
      <c r="H25" s="2" t="n">
        <v>167333</v>
      </c>
      <c r="I25" s="2" t="s">
        <v>234</v>
      </c>
      <c r="J25" s="2" t="n">
        <v>0.0014</v>
      </c>
      <c r="K25" s="2" t="str">
        <f aca="false">IF(H25&lt;G25,"SHORT",IF(H25&lt;5*G25,"LOW","OK"))</f>
        <v>OK</v>
      </c>
      <c r="L25" s="2" t="s">
        <v>282</v>
      </c>
      <c r="M25" s="2" t="s">
        <v>283</v>
      </c>
      <c r="N25" s="2" t="s">
        <v>237</v>
      </c>
    </row>
    <row r="26" customFormat="false" ht="23.85" hidden="false" customHeight="false" outlineLevel="0" collapsed="false">
      <c r="A26" s="2" t="s">
        <v>81</v>
      </c>
      <c r="B26" s="2" t="s">
        <v>284</v>
      </c>
      <c r="C26" s="2" t="s">
        <v>273</v>
      </c>
      <c r="D26" s="2" t="s">
        <v>6</v>
      </c>
      <c r="E26" s="2" t="s">
        <v>80</v>
      </c>
      <c r="F26" s="2" t="n">
        <v>2</v>
      </c>
      <c r="G26" s="2" t="n">
        <f aca="false">F26*$B$1</f>
        <v>20</v>
      </c>
      <c r="H26" s="2" t="n">
        <v>25726</v>
      </c>
      <c r="I26" s="2" t="s">
        <v>234</v>
      </c>
      <c r="J26" s="2" t="n">
        <v>0.002</v>
      </c>
      <c r="K26" s="2" t="str">
        <f aca="false">IF(H26&lt;G26,"SHORT",IF(H26&lt;5*G26,"LOW","OK"))</f>
        <v>OK</v>
      </c>
      <c r="L26" s="2" t="s">
        <v>285</v>
      </c>
      <c r="M26" s="2" t="s">
        <v>286</v>
      </c>
      <c r="N26" s="2" t="s">
        <v>237</v>
      </c>
    </row>
    <row r="27" customFormat="false" ht="23.85" hidden="false" customHeight="false" outlineLevel="0" collapsed="false">
      <c r="A27" s="2" t="s">
        <v>84</v>
      </c>
      <c r="B27" s="2" t="s">
        <v>287</v>
      </c>
      <c r="C27" s="2" t="s">
        <v>273</v>
      </c>
      <c r="D27" s="2" t="s">
        <v>6</v>
      </c>
      <c r="E27" s="2" t="s">
        <v>83</v>
      </c>
      <c r="F27" s="2" t="n">
        <v>2</v>
      </c>
      <c r="G27" s="2" t="n">
        <f aca="false">F27*$B$1</f>
        <v>20</v>
      </c>
      <c r="H27" s="2" t="n">
        <v>3673590</v>
      </c>
      <c r="I27" s="2" t="s">
        <v>239</v>
      </c>
      <c r="J27" s="2" t="n">
        <v>0.0021</v>
      </c>
      <c r="K27" s="2" t="str">
        <f aca="false">IF(H27&lt;G27,"SHORT",IF(H27&lt;5*G27,"LOW","OK"))</f>
        <v>OK</v>
      </c>
      <c r="L27" s="2"/>
      <c r="M27" s="2"/>
      <c r="N27" s="2" t="s">
        <v>237</v>
      </c>
    </row>
    <row r="28" customFormat="false" ht="23.85" hidden="false" customHeight="false" outlineLevel="0" collapsed="false">
      <c r="A28" s="2" t="s">
        <v>87</v>
      </c>
      <c r="B28" s="2" t="s">
        <v>288</v>
      </c>
      <c r="C28" s="2" t="s">
        <v>273</v>
      </c>
      <c r="D28" s="2" t="s">
        <v>6</v>
      </c>
      <c r="E28" s="2" t="s">
        <v>86</v>
      </c>
      <c r="F28" s="2" t="n">
        <v>2</v>
      </c>
      <c r="G28" s="2" t="n">
        <f aca="false">F28*$B$1</f>
        <v>20</v>
      </c>
      <c r="H28" s="2" t="n">
        <v>24070818</v>
      </c>
      <c r="I28" s="2" t="s">
        <v>239</v>
      </c>
      <c r="J28" s="2" t="n">
        <v>0.0015</v>
      </c>
      <c r="K28" s="2" t="str">
        <f aca="false">IF(H28&lt;G28,"SHORT",IF(H28&lt;5*G28,"LOW","OK"))</f>
        <v>OK</v>
      </c>
      <c r="L28" s="2"/>
      <c r="M28" s="2"/>
      <c r="N28" s="2" t="s">
        <v>237</v>
      </c>
    </row>
    <row r="29" customFormat="false" ht="15" hidden="false" customHeight="false" outlineLevel="0" collapsed="false">
      <c r="A29" s="2" t="s">
        <v>90</v>
      </c>
      <c r="B29" s="2" t="s">
        <v>289</v>
      </c>
      <c r="C29" s="2" t="s">
        <v>290</v>
      </c>
      <c r="D29" s="2" t="s">
        <v>6</v>
      </c>
      <c r="E29" s="2" t="s">
        <v>89</v>
      </c>
      <c r="F29" s="2" t="n">
        <v>2</v>
      </c>
      <c r="G29" s="2" t="n">
        <f aca="false">F29*$B$1</f>
        <v>20</v>
      </c>
      <c r="H29" s="2" t="n">
        <v>8924269</v>
      </c>
      <c r="I29" s="2" t="s">
        <v>234</v>
      </c>
      <c r="J29" s="2" t="n">
        <v>0.0026</v>
      </c>
      <c r="K29" s="2" t="str">
        <f aca="false">IF(H29&lt;G29,"SHORT",IF(H29&lt;5*G29,"LOW","OK"))</f>
        <v>OK</v>
      </c>
      <c r="L29" s="2" t="s">
        <v>291</v>
      </c>
      <c r="M29" s="2" t="s">
        <v>292</v>
      </c>
      <c r="N29" s="2" t="s">
        <v>237</v>
      </c>
    </row>
    <row r="30" customFormat="false" ht="23.85" hidden="false" customHeight="false" outlineLevel="0" collapsed="false">
      <c r="A30" s="2" t="s">
        <v>93</v>
      </c>
      <c r="B30" s="2" t="s">
        <v>293</v>
      </c>
      <c r="C30" s="2" t="s">
        <v>273</v>
      </c>
      <c r="D30" s="2" t="s">
        <v>6</v>
      </c>
      <c r="E30" s="2" t="s">
        <v>92</v>
      </c>
      <c r="F30" s="2" t="n">
        <v>1</v>
      </c>
      <c r="G30" s="2" t="n">
        <f aca="false">F30*$B$1</f>
        <v>10</v>
      </c>
      <c r="H30" s="2" t="n">
        <v>1089463</v>
      </c>
      <c r="I30" s="2" t="s">
        <v>239</v>
      </c>
      <c r="J30" s="2" t="n">
        <v>0.0015</v>
      </c>
      <c r="K30" s="2" t="str">
        <f aca="false">IF(H30&lt;G30,"SHORT",IF(H30&lt;5*G30,"LOW","OK"))</f>
        <v>OK</v>
      </c>
      <c r="L30" s="2"/>
      <c r="M30" s="2"/>
      <c r="N30" s="2" t="s">
        <v>237</v>
      </c>
    </row>
    <row r="31" customFormat="false" ht="23.85" hidden="false" customHeight="false" outlineLevel="0" collapsed="false">
      <c r="A31" s="2" t="s">
        <v>96</v>
      </c>
      <c r="B31" s="2" t="s">
        <v>294</v>
      </c>
      <c r="C31" s="2" t="s">
        <v>273</v>
      </c>
      <c r="D31" s="2" t="s">
        <v>6</v>
      </c>
      <c r="E31" s="2" t="s">
        <v>95</v>
      </c>
      <c r="F31" s="2" t="n">
        <v>1</v>
      </c>
      <c r="G31" s="2" t="n">
        <f aca="false">F31*$B$1</f>
        <v>10</v>
      </c>
      <c r="H31" s="2" t="n">
        <v>7021751</v>
      </c>
      <c r="I31" s="2" t="s">
        <v>239</v>
      </c>
      <c r="J31" s="2" t="n">
        <v>0.0018</v>
      </c>
      <c r="K31" s="2" t="str">
        <f aca="false">IF(H31&lt;G31,"SHORT",IF(H31&lt;5*G31,"LOW","OK"))</f>
        <v>OK</v>
      </c>
      <c r="L31" s="2"/>
      <c r="M31" s="2"/>
      <c r="N31" s="2" t="s">
        <v>237</v>
      </c>
    </row>
    <row r="32" customFormat="false" ht="23.85" hidden="false" customHeight="false" outlineLevel="0" collapsed="false">
      <c r="A32" s="2" t="s">
        <v>99</v>
      </c>
      <c r="B32" s="2" t="s">
        <v>295</v>
      </c>
      <c r="C32" s="2" t="s">
        <v>273</v>
      </c>
      <c r="D32" s="2" t="s">
        <v>6</v>
      </c>
      <c r="E32" s="2" t="s">
        <v>98</v>
      </c>
      <c r="F32" s="2" t="n">
        <v>4</v>
      </c>
      <c r="G32" s="2" t="n">
        <f aca="false">F32*$B$1</f>
        <v>40</v>
      </c>
      <c r="H32" s="2" t="n">
        <v>2428655</v>
      </c>
      <c r="I32" s="2" t="s">
        <v>239</v>
      </c>
      <c r="J32" s="2" t="n">
        <v>0.0016</v>
      </c>
      <c r="K32" s="2" t="str">
        <f aca="false">IF(H32&lt;G32,"SHORT",IF(H32&lt;5*G32,"LOW","OK"))</f>
        <v>OK</v>
      </c>
      <c r="L32" s="2"/>
      <c r="M32" s="2"/>
      <c r="N32" s="2" t="s">
        <v>237</v>
      </c>
    </row>
    <row r="33" customFormat="false" ht="23.85" hidden="false" customHeight="false" outlineLevel="0" collapsed="false">
      <c r="A33" s="2" t="s">
        <v>102</v>
      </c>
      <c r="B33" s="2" t="s">
        <v>296</v>
      </c>
      <c r="C33" s="2" t="s">
        <v>297</v>
      </c>
      <c r="D33" s="2" t="s">
        <v>6</v>
      </c>
      <c r="E33" s="2" t="s">
        <v>101</v>
      </c>
      <c r="F33" s="2" t="n">
        <v>6</v>
      </c>
      <c r="G33" s="2" t="n">
        <f aca="false">F33*$B$1</f>
        <v>60</v>
      </c>
      <c r="H33" s="2" t="n">
        <v>1155065</v>
      </c>
      <c r="I33" s="2" t="s">
        <v>234</v>
      </c>
      <c r="J33" s="2" t="n">
        <v>0.0011</v>
      </c>
      <c r="K33" s="2" t="str">
        <f aca="false">IF(H33&lt;G33,"SHORT",IF(H33&lt;5*G33,"LOW","OK"))</f>
        <v>OK</v>
      </c>
      <c r="L33" s="2" t="s">
        <v>298</v>
      </c>
      <c r="M33" s="2" t="s">
        <v>299</v>
      </c>
      <c r="N33" s="2" t="s">
        <v>237</v>
      </c>
    </row>
    <row r="34" customFormat="false" ht="23.85" hidden="false" customHeight="false" outlineLevel="0" collapsed="false">
      <c r="A34" s="2" t="s">
        <v>105</v>
      </c>
      <c r="B34" s="2" t="s">
        <v>300</v>
      </c>
      <c r="C34" s="2" t="s">
        <v>273</v>
      </c>
      <c r="D34" s="2" t="s">
        <v>6</v>
      </c>
      <c r="E34" s="2" t="s">
        <v>104</v>
      </c>
      <c r="F34" s="2" t="n">
        <v>2</v>
      </c>
      <c r="G34" s="2" t="n">
        <f aca="false">F34*$B$1</f>
        <v>20</v>
      </c>
      <c r="H34" s="2" t="n">
        <v>3567540</v>
      </c>
      <c r="I34" s="2" t="s">
        <v>239</v>
      </c>
      <c r="J34" s="2" t="n">
        <v>0.0024</v>
      </c>
      <c r="K34" s="2" t="str">
        <f aca="false">IF(H34&lt;G34,"SHORT",IF(H34&lt;5*G34,"LOW","OK"))</f>
        <v>OK</v>
      </c>
      <c r="L34" s="2"/>
      <c r="M34" s="2"/>
      <c r="N34" s="2" t="s">
        <v>237</v>
      </c>
    </row>
    <row r="35" customFormat="false" ht="15" hidden="false" customHeight="false" outlineLevel="0" collapsed="false">
      <c r="A35" s="2" t="s">
        <v>109</v>
      </c>
      <c r="B35" s="2" t="s">
        <v>301</v>
      </c>
      <c r="C35" s="2" t="s">
        <v>276</v>
      </c>
      <c r="D35" s="2" t="s">
        <v>108</v>
      </c>
      <c r="E35" s="2" t="s">
        <v>107</v>
      </c>
      <c r="F35" s="2" t="n">
        <v>2</v>
      </c>
      <c r="G35" s="2" t="n">
        <f aca="false">F35*$B$1</f>
        <v>20</v>
      </c>
      <c r="H35" s="2" t="n">
        <v>18813</v>
      </c>
      <c r="I35" s="2" t="s">
        <v>234</v>
      </c>
      <c r="J35" s="2" t="n">
        <v>0.0314</v>
      </c>
      <c r="K35" s="2" t="str">
        <f aca="false">IF(H35&lt;G35,"SHORT",IF(H35&lt;5*G35,"LOW","OK"))</f>
        <v>OK</v>
      </c>
      <c r="L35" s="2"/>
      <c r="M35" s="2"/>
      <c r="N35" s="2" t="s">
        <v>237</v>
      </c>
    </row>
    <row r="36" customFormat="false" ht="15" hidden="false" customHeight="false" outlineLevel="0" collapsed="false">
      <c r="A36" s="2" t="s">
        <v>112</v>
      </c>
      <c r="B36" s="2" t="s">
        <v>302</v>
      </c>
      <c r="C36" s="2" t="s">
        <v>290</v>
      </c>
      <c r="D36" s="2" t="s">
        <v>6</v>
      </c>
      <c r="E36" s="2" t="s">
        <v>111</v>
      </c>
      <c r="F36" s="2" t="n">
        <v>6</v>
      </c>
      <c r="G36" s="2" t="n">
        <f aca="false">F36*$B$1</f>
        <v>60</v>
      </c>
      <c r="H36" s="2" t="n">
        <v>6148373</v>
      </c>
      <c r="I36" s="2" t="s">
        <v>234</v>
      </c>
      <c r="J36" s="2" t="n">
        <v>0.0026</v>
      </c>
      <c r="K36" s="2" t="str">
        <f aca="false">IF(H36&lt;G36,"SHORT",IF(H36&lt;5*G36,"LOW","OK"))</f>
        <v>OK</v>
      </c>
      <c r="L36" s="2" t="s">
        <v>303</v>
      </c>
      <c r="M36" s="2" t="s">
        <v>304</v>
      </c>
      <c r="N36" s="2" t="s">
        <v>237</v>
      </c>
    </row>
    <row r="37" customFormat="false" ht="15" hidden="false" customHeight="false" outlineLevel="0" collapsed="false">
      <c r="A37" s="2" t="s">
        <v>116</v>
      </c>
      <c r="B37" s="2" t="s">
        <v>305</v>
      </c>
      <c r="C37" s="2" t="s">
        <v>253</v>
      </c>
      <c r="D37" s="2" t="s">
        <v>306</v>
      </c>
      <c r="E37" s="2" t="s">
        <v>114</v>
      </c>
      <c r="F37" s="2" t="n">
        <v>1</v>
      </c>
      <c r="G37" s="2" t="n">
        <f aca="false">F37*$B$1</f>
        <v>10</v>
      </c>
      <c r="H37" s="2" t="n">
        <v>16754</v>
      </c>
      <c r="I37" s="2" t="s">
        <v>234</v>
      </c>
      <c r="J37" s="2" t="n">
        <v>0.6753</v>
      </c>
      <c r="K37" s="2" t="str">
        <f aca="false">IF(H37&lt;G37,"SHORT",IF(H37&lt;5*G37,"LOW","OK"))</f>
        <v>OK</v>
      </c>
      <c r="L37" s="2"/>
      <c r="M37" s="2"/>
      <c r="N37" s="2" t="s">
        <v>237</v>
      </c>
    </row>
    <row r="38" customFormat="false" ht="23.85" hidden="false" customHeight="false" outlineLevel="0" collapsed="false">
      <c r="A38" s="2" t="s">
        <v>120</v>
      </c>
      <c r="B38" s="2" t="s">
        <v>307</v>
      </c>
      <c r="C38" s="2" t="s">
        <v>308</v>
      </c>
      <c r="D38" s="2" t="s">
        <v>119</v>
      </c>
      <c r="E38" s="2" t="s">
        <v>118</v>
      </c>
      <c r="F38" s="2" t="n">
        <v>1</v>
      </c>
      <c r="G38" s="2" t="n">
        <f aca="false">F38*$B$1</f>
        <v>10</v>
      </c>
      <c r="H38" s="2" t="n">
        <v>1850</v>
      </c>
      <c r="I38" s="2" t="s">
        <v>234</v>
      </c>
      <c r="J38" s="2" t="n">
        <v>0.0813</v>
      </c>
      <c r="K38" s="2" t="str">
        <f aca="false">IF(H38&lt;G38,"SHORT",IF(H38&lt;5*G38,"LOW","OK"))</f>
        <v>OK</v>
      </c>
      <c r="L38" s="2"/>
      <c r="M38" s="2"/>
      <c r="N38" s="2" t="s">
        <v>309</v>
      </c>
    </row>
    <row r="39" customFormat="false" ht="68.65" hidden="false" customHeight="false" outlineLevel="0" collapsed="false">
      <c r="A39" s="2" t="s">
        <v>124</v>
      </c>
      <c r="B39" s="2" t="s">
        <v>310</v>
      </c>
      <c r="C39" s="2" t="s">
        <v>311</v>
      </c>
      <c r="D39" s="2" t="s">
        <v>123</v>
      </c>
      <c r="E39" s="2" t="s">
        <v>122</v>
      </c>
      <c r="F39" s="2" t="n">
        <v>1</v>
      </c>
      <c r="G39" s="2" t="n">
        <f aca="false">F39*$B$1</f>
        <v>10</v>
      </c>
      <c r="H39" s="2" t="n">
        <v>5</v>
      </c>
      <c r="I39" s="2" t="s">
        <v>234</v>
      </c>
      <c r="J39" s="2" t="n">
        <v>1.295</v>
      </c>
      <c r="K39" s="2" t="str">
        <f aca="false">IF(H39&lt;G39,"SHORT",IF(H39&lt;5*G39,"LOW","OK"))</f>
        <v>SHORT</v>
      </c>
      <c r="L39" s="2" t="s">
        <v>312</v>
      </c>
      <c r="M39" s="2" t="s">
        <v>313</v>
      </c>
      <c r="N39" s="2" t="s">
        <v>314</v>
      </c>
    </row>
    <row r="40" customFormat="false" ht="23.85" hidden="false" customHeight="false" outlineLevel="0" collapsed="false">
      <c r="A40" s="2" t="s">
        <v>128</v>
      </c>
      <c r="B40" s="2" t="s">
        <v>315</v>
      </c>
      <c r="C40" s="2" t="s">
        <v>316</v>
      </c>
      <c r="D40" s="2" t="s">
        <v>127</v>
      </c>
      <c r="E40" s="2" t="s">
        <v>126</v>
      </c>
      <c r="F40" s="2" t="n">
        <v>1</v>
      </c>
      <c r="G40" s="2" t="n">
        <f aca="false">F40*$B$1</f>
        <v>10</v>
      </c>
      <c r="H40" s="2" t="n">
        <v>7914</v>
      </c>
      <c r="I40" s="2" t="s">
        <v>234</v>
      </c>
      <c r="J40" s="2" t="n">
        <v>2.5362</v>
      </c>
      <c r="K40" s="2" t="str">
        <f aca="false">IF(H40&lt;G40,"SHORT",IF(H40&lt;5*G40,"LOW","OK"))</f>
        <v>OK</v>
      </c>
      <c r="L40" s="2"/>
      <c r="M40" s="2"/>
      <c r="N40" s="2" t="s">
        <v>237</v>
      </c>
    </row>
    <row r="41" customFormat="false" ht="23.85" hidden="false" customHeight="false" outlineLevel="0" collapsed="false">
      <c r="A41" s="2" t="s">
        <v>132</v>
      </c>
      <c r="B41" s="2" t="s">
        <v>317</v>
      </c>
      <c r="C41" s="2" t="s">
        <v>311</v>
      </c>
      <c r="D41" s="2" t="s">
        <v>131</v>
      </c>
      <c r="E41" s="2" t="s">
        <v>130</v>
      </c>
      <c r="F41" s="2" t="n">
        <v>1</v>
      </c>
      <c r="G41" s="2" t="n">
        <f aca="false">F41*$B$1</f>
        <v>10</v>
      </c>
      <c r="H41" s="2" t="n">
        <v>1993</v>
      </c>
      <c r="I41" s="2" t="s">
        <v>234</v>
      </c>
      <c r="J41" s="2" t="n">
        <v>1.0259</v>
      </c>
      <c r="K41" s="2" t="str">
        <f aca="false">IF(H41&lt;G41,"SHORT",IF(H41&lt;5*G41,"LOW","OK"))</f>
        <v>OK</v>
      </c>
      <c r="L41" s="2"/>
      <c r="M41" s="2"/>
      <c r="N41" s="2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2026-10-13T19:56:33Z</dcterms:created>
  <dc:creator>openpyxl</dc:creator>
  <dc:description/>
  <dc:language>en-US</dc:language>
  <cp:lastModifiedBy/>
  <dcterms:modified xsi:type="dcterms:W3CDTF">2026-10-13T19:56:33Z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